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D:\03. CLIENTS\05. Forex\Contoh Form\HRD\"/>
    </mc:Choice>
  </mc:AlternateContent>
  <xr:revisionPtr revIDLastSave="0" documentId="13_ncr:1_{2F5689E6-0AF2-4C51-B601-D501E852D34F}" xr6:coauthVersionLast="47" xr6:coauthVersionMax="47" xr10:uidLastSave="{00000000-0000-0000-0000-000000000000}"/>
  <bookViews>
    <workbookView xWindow="-110" yWindow="-110" windowWidth="19420" windowHeight="10300" xr2:uid="{00000000-000D-0000-FFFF-FFFF00000000}"/>
  </bookViews>
  <sheets>
    <sheet name="OK" sheetId="5" r:id="rId1"/>
  </sheets>
  <definedNames>
    <definedName name="_xlnm.Print_Area" localSheetId="0">OK!$A$2:$N$100</definedName>
    <definedName name="_xlnm.Print_Titles" localSheetId="0">OK!$13:$15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1" i="5" l="1"/>
  <c r="D72" i="5"/>
  <c r="D73" i="5"/>
  <c r="D74" i="5"/>
  <c r="D75" i="5"/>
  <c r="D76" i="5"/>
  <c r="E77" i="5"/>
  <c r="E71" i="5" l="1"/>
  <c r="E74" i="5"/>
  <c r="E80" i="5" l="1"/>
  <c r="H84" i="5" s="1"/>
</calcChain>
</file>

<file path=xl/sharedStrings.xml><?xml version="1.0" encoding="utf-8"?>
<sst xmlns="http://schemas.openxmlformats.org/spreadsheetml/2006/main" count="162" uniqueCount="143">
  <si>
    <t>NIK</t>
  </si>
  <si>
    <t>JABATAN</t>
  </si>
  <si>
    <t xml:space="preserve">NAMA </t>
  </si>
  <si>
    <t>Sifat</t>
  </si>
  <si>
    <t>Tingkat Jabatan</t>
  </si>
  <si>
    <t>:</t>
  </si>
  <si>
    <t>MASA KERJA</t>
  </si>
  <si>
    <t>PERIODE PENILAIAN</t>
  </si>
  <si>
    <t>NO</t>
  </si>
  <si>
    <t>ASPEK PENILAIAN</t>
  </si>
  <si>
    <t>A</t>
  </si>
  <si>
    <t>B</t>
  </si>
  <si>
    <t>C</t>
  </si>
  <si>
    <t>D</t>
  </si>
  <si>
    <t>HRD</t>
  </si>
  <si>
    <t>Atasan Langsung</t>
  </si>
  <si>
    <t>Karyawan</t>
  </si>
  <si>
    <t>Penilai</t>
  </si>
  <si>
    <t>Atasan Tidak Langsung</t>
  </si>
  <si>
    <t>Mengetahui</t>
  </si>
  <si>
    <t>PENALTI ( Diisi Oleh HR Departement )</t>
  </si>
  <si>
    <t>No. Dokumen</t>
  </si>
  <si>
    <t>Tgl. Terbit</t>
  </si>
  <si>
    <t>No. Revisi</t>
  </si>
  <si>
    <t>Halaman</t>
  </si>
  <si>
    <t>00</t>
  </si>
  <si>
    <t>1 dari 1</t>
  </si>
  <si>
    <t>Revisi : 00</t>
  </si>
  <si>
    <t xml:space="preserve">: </t>
  </si>
  <si>
    <t>DEPARTEMEN : ...........................................................</t>
  </si>
  <si>
    <t>: ...........................</t>
  </si>
  <si>
    <t>TUJUAN PENILAIAN</t>
  </si>
  <si>
    <t>I. DISIPLIN</t>
  </si>
  <si>
    <t>Selalu tepat waktu dan tidak pernah melakukan pelanggaran</t>
  </si>
  <si>
    <t>Biasanya tepat waktu dan tidak pernah melakukan pelanggaran</t>
  </si>
  <si>
    <t>Sekali-sekali tidak tepat waktu dan sekali-sekali melanggar tata tertib</t>
  </si>
  <si>
    <t>Hanya sekali-sekali tepat waktu dan pernah mendapatkan sanksi kedisiplinan</t>
  </si>
  <si>
    <t>II. SIKAP</t>
  </si>
  <si>
    <t>Selalu menjunjung tinggi norma-norma kerja baik terhadap atasan,  bawahan dan sesama karyawan</t>
  </si>
  <si>
    <t>Biasanya menjunjung tinggi norma-norma kerja baik terhadap atasan, bawahan dan sesama karyawan</t>
  </si>
  <si>
    <t xml:space="preserve">Sekali-sekali tidak menjunjung tinggi norma-norma kerja baik terhadap atasan, bawahan dan sesama karyawan </t>
  </si>
  <si>
    <t>Kurang menjunjung tinggi norma-norma kerja baik terhadap atasan, bawahan dan sesama karyawan</t>
  </si>
  <si>
    <t>III. KERJASAMA</t>
  </si>
  <si>
    <t>Bisa bekerjasama dan bersedia membantu meningkatkan hasil kerja, menghargai pendapat orang lain, bersedia memberi saran/nasehat bila diminta dan berhati terbuka menerima kritik-kritik dan saran-saran.</t>
  </si>
  <si>
    <t>Kerjasama memadai, tetapi tidak aktif meningkatkan  hasil kerja, bersedia memberi saran bila diminta dan bersedia menerima kritik hanya mengenai tugasnya saja.</t>
  </si>
  <si>
    <t>IV. KERAPIHAN DAN KEBERSIHAN</t>
  </si>
  <si>
    <t>Pemeliharaan alat/perangkat kerja dan lingkungan kerja sangat baik, rapi dan bersih</t>
  </si>
  <si>
    <t>Biasanya pemeliharaan alat/perangkat kerja dan lingkungan kerja rapi dan bersih.</t>
  </si>
  <si>
    <t>Sekali-kali rapi dan bersih, tetapi membutuhkan pengontrolan.</t>
  </si>
  <si>
    <t>Penempatan alat/perangkat kerja tidak beraturan dan tempat kerja kurang bersih.</t>
  </si>
  <si>
    <t>V. DEDIKASI DAN LOYALITAS</t>
  </si>
  <si>
    <t>Sangat tinggi dedikasinya/sangat antusias dan tanggungjawab terhadap pekerjaan ikhlas dan jujur.</t>
  </si>
  <si>
    <t>Perhatian dan tanggungjawab terhadap pekerjaan baik dan jujur.</t>
  </si>
  <si>
    <t>Perhatian cukup dan secara umum bertanggungjawab, selalu melaporkan hasil kerja menurut keadaan sebenarnya.</t>
  </si>
  <si>
    <t>VI. KETERAMPILAN</t>
  </si>
  <si>
    <t>Biasanya menguasi, terampil dan bertanggung dalam penyelesaian tugas pekerjaan.</t>
  </si>
  <si>
    <t>Sekali-sekali menguasai, terampil dan sekali-sekali bertanggung jawab dalam menyelesaikan tugas pekerjaan</t>
  </si>
  <si>
    <t>Tidak menguasai, kurang terampil dan  kurang bertanggungjawab dalam penyelesaian tugas pekerjaan.</t>
  </si>
  <si>
    <t>VII. INISIATIF</t>
  </si>
  <si>
    <t>Inisiatifnya luar biasa, selalu mencari/menemukan cara-cara baru untuk dapat menyelesaikan tugas lebih baik dan selalu mampu memberikan saran-saran/usul-usul yang positif tanpa diminta.</t>
  </si>
  <si>
    <t>Inisiafnya cukup baik, seringkali mencari/menemukan cara-cara untuk menyelesaikan tugas lebih baik dan seringkali memberi usul-usul yang positif.</t>
  </si>
  <si>
    <t>Inisiatifnya sedang-sedang saja, kadangkala mencari/menemukan cara-cara penyelesaian tugas yang lebih baik.</t>
  </si>
  <si>
    <t>Tidak ada inisiatif dan selalu membutuhkan instruksi secara umum</t>
  </si>
  <si>
    <t>VIII. KUANTITAS DAN KUALITAS KERJA</t>
  </si>
  <si>
    <t>Selalu berhasil menyelesaikan pekerjaan dengan kuantitas yang direncanakan dan tepat menurut waktu yang ditetapkan serta selalu memenuhi standar mutu bahkan sering kali jauh lebih baik dari yang ditetapkan</t>
  </si>
  <si>
    <t>Biasanya menyelesaikan pekerjaan dengan baik dan mendekati waktu yang ditetapkan serta hasil kerja  sesuai standar  mutu dan menurut ketetapan</t>
  </si>
  <si>
    <t>Hasil kerja baik tetapi waktu kerja pas-pasan dan biasanya tepat dan menurut ketetapan tetapi  membutuhkan pengontrolan</t>
  </si>
  <si>
    <t>Hasil kerja dibawah yang diharapkan dan melewati waktu serta sering salah</t>
  </si>
  <si>
    <t>IX. KEPEMIMPINAN</t>
  </si>
  <si>
    <t xml:space="preserve">Menjalankan tugas dengan tanggungjawab dan selalu menjadi tauladan, memberi motivasi, dan berani mengambil keputusan dengan baik </t>
  </si>
  <si>
    <t>Biasanya menjalankan tugas dengan tanggungjawab dengan baik</t>
  </si>
  <si>
    <t>Kadang-kadang menjalankan tugas dengan baik</t>
  </si>
  <si>
    <t>Menjalakan tugas dengan kurang kesungguhan dan selalu mengharapkan petunjuk dan arahan</t>
  </si>
  <si>
    <t>Menjalankan tugas dan tidak sungguh-sugguh dan jarang sekali sampai tuntas</t>
  </si>
  <si>
    <t>Pemahaman dan kepatuhan terhadap Peraturan,kebijakan dan prosedur K3L serta partisipasi dalam penerapan K3L di lingkungan kerjanya</t>
  </si>
  <si>
    <r>
      <t xml:space="preserve">: </t>
    </r>
    <r>
      <rPr>
        <b/>
        <sz val="11"/>
        <color rgb="FFFF0000"/>
        <rFont val="Arial"/>
        <family val="2"/>
      </rPr>
      <t>RAHASIA</t>
    </r>
  </si>
  <si>
    <t>Selalu menunjukkan kemampuan dan kemauan yang sangat baik untuk bekerjasama secara sehat dengan semua orang yang berkaitan dengan bidang tugas, selalu menghargai pendapat orang lain, selalu berusaha memberi saran baik diminta ataupun tidak serta selalu berhati terbuka menerima kritik dan saran-saran.</t>
  </si>
  <si>
    <t>Perhatian kurang dan tanggungjawab sangat minim, kadang-kadang hasil kerja dilaporkan kurang sesuai dengan keadaan yang sebenarnya.</t>
  </si>
  <si>
    <t>Hanya sekali-sekali bersedia membantu, lebih banyak mementingkan diri sendiri, sukar memberi atau menerima kritik dan saran.</t>
  </si>
  <si>
    <t>Menguasai, terampil dan bertanggungjawab dalam segala hal berkaitan  dengan penyelesaian tugas pekerjaan.</t>
  </si>
  <si>
    <t>PENILAIAN</t>
  </si>
  <si>
    <t>RANGE</t>
  </si>
  <si>
    <t>YBS</t>
  </si>
  <si>
    <t>I</t>
  </si>
  <si>
    <t>II</t>
  </si>
  <si>
    <t>NILAI</t>
  </si>
  <si>
    <t>12-15</t>
  </si>
  <si>
    <t>8-11</t>
  </si>
  <si>
    <t>4-7</t>
  </si>
  <si>
    <t>0-3</t>
  </si>
  <si>
    <t>0-4</t>
  </si>
  <si>
    <t>17-20</t>
  </si>
  <si>
    <t>13-16</t>
  </si>
  <si>
    <t>9-12</t>
  </si>
  <si>
    <t>5-8</t>
  </si>
  <si>
    <t>0-8</t>
  </si>
  <si>
    <t>9-16</t>
  </si>
  <si>
    <t>17-24</t>
  </si>
  <si>
    <t>25-30</t>
  </si>
  <si>
    <t>0-10</t>
  </si>
  <si>
    <t>SKALA PEROLEHAN NILAI</t>
  </si>
  <si>
    <t>HURUF</t>
  </si>
  <si>
    <t>ANGKA</t>
  </si>
  <si>
    <t>81-100</t>
  </si>
  <si>
    <t>61-80</t>
  </si>
  <si>
    <t>41-60</t>
  </si>
  <si>
    <t>20-40</t>
  </si>
  <si>
    <t>Tingkat Produktifitas Kerja Karyawan</t>
  </si>
  <si>
    <t>Sangat Produktif</t>
  </si>
  <si>
    <t>Produktif</t>
  </si>
  <si>
    <t>Cukup Produktif</t>
  </si>
  <si>
    <t>Kurang Produktif</t>
  </si>
  <si>
    <t>Pelanggaran</t>
  </si>
  <si>
    <t>Score</t>
  </si>
  <si>
    <t>Total</t>
  </si>
  <si>
    <t>Skor</t>
  </si>
  <si>
    <t xml:space="preserve">Mangkir </t>
  </si>
  <si>
    <t>1 hari</t>
  </si>
  <si>
    <t>Izin</t>
  </si>
  <si>
    <t>2 hari</t>
  </si>
  <si>
    <t>Sakit</t>
  </si>
  <si>
    <t>4 hari</t>
  </si>
  <si>
    <t>15 kali</t>
  </si>
  <si>
    <t>10 kali</t>
  </si>
  <si>
    <t>5 kali</t>
  </si>
  <si>
    <t>SP I</t>
  </si>
  <si>
    <t>SP II</t>
  </si>
  <si>
    <t>SPIII</t>
  </si>
  <si>
    <t>Jlh</t>
  </si>
  <si>
    <t>Telat&lt;15 Menit</t>
  </si>
  <si>
    <t>Telat&lt;30 Menit</t>
  </si>
  <si>
    <t>Telat&gt; 30 Menit</t>
  </si>
  <si>
    <t xml:space="preserve">Jumlah </t>
  </si>
  <si>
    <t>X. ASPEK K3</t>
  </si>
  <si>
    <t>JUMLAH NILAI (I s/d X)</t>
  </si>
  <si>
    <t>TOTAL (Penilai I + Penilai II dibagi 2)</t>
  </si>
  <si>
    <t>NILAI AKHIR</t>
  </si>
  <si>
    <t>(Total nilai - Penalti)</t>
  </si>
  <si>
    <t>Project Manager</t>
  </si>
  <si>
    <t>Tgl.</t>
  </si>
  <si>
    <t>FORMULIR</t>
  </si>
  <si>
    <t>PENILAIAN PRESTASI KERJA</t>
  </si>
  <si>
    <t>A-HRDGA-2.02.00-21 Juli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</si>
</sst>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scheme val="minor"/>
    </font>
    <font>
      <b/>
      <sz val="12"/>
      <color theme="1"/>
      <name val="Arial"/>
      <family val="2"/>
    </font>
    <font>
      <b/>
      <sz val="11"/>
      <color theme="1"/>
      <name val="Arial"/>
      <family val="2"/>
    </font>
    <font>
      <sz val="12"/>
      <color theme="1"/>
      <name val="Arial"/>
      <family val="2"/>
    </font>
    <font>
      <sz val="11"/>
      <name val="Calibri"/>
      <family val="2"/>
    </font>
    <font>
      <sz val="11"/>
      <color rgb="FF000000"/>
      <name val="Arial"/>
      <family val="2"/>
    </font>
    <font>
      <sz val="11"/>
      <color theme="1"/>
      <name val="Arial"/>
      <family val="2"/>
    </font>
    <font>
      <sz val="11"/>
      <color rgb="FFFF0000"/>
      <name val="Arial"/>
      <family val="2"/>
    </font>
    <font>
      <b/>
      <sz val="11"/>
      <color rgb="FFFF0000"/>
      <name val="Arial"/>
      <family val="2"/>
    </font>
    <font>
      <b/>
      <i/>
      <sz val="11"/>
      <color theme="1"/>
      <name val="Arial"/>
      <family val="2"/>
    </font>
    <font>
      <b/>
      <sz val="11"/>
      <color rgb="FF000000"/>
      <name val="Aharoni"/>
      <charset val="177"/>
    </font>
    <font>
      <b/>
      <sz val="11"/>
      <color rgb="FF000000"/>
      <name val="Arial"/>
      <family val="2"/>
    </font>
    <font>
      <b/>
      <i/>
      <sz val="11"/>
      <color rgb="FF000000"/>
      <name val="Arial"/>
      <family val="2"/>
    </font>
    <font>
      <b/>
      <sz val="16"/>
      <color theme="1"/>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rgb="FF92D050"/>
        <bgColor rgb="FF92D050"/>
      </patternFill>
    </fill>
    <fill>
      <patternFill patternType="solid">
        <fgColor rgb="FFFFFF00"/>
        <bgColor indexed="64"/>
      </patternFill>
    </fill>
    <fill>
      <patternFill patternType="solid">
        <fgColor rgb="FF92D050"/>
        <bgColor indexed="64"/>
      </patternFill>
    </fill>
    <fill>
      <patternFill patternType="solid">
        <fgColor rgb="FF66FF33"/>
        <bgColor indexed="64"/>
      </patternFill>
    </fill>
    <fill>
      <patternFill patternType="solid">
        <fgColor theme="1" tint="0.34998626667073579"/>
        <bgColor rgb="FF7F7F7F"/>
      </patternFill>
    </fill>
    <fill>
      <patternFill patternType="solid">
        <fgColor theme="1" tint="0.34998626667073579"/>
        <bgColor rgb="FF4C8773"/>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style="thin">
        <color indexed="64"/>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70">
    <xf numFmtId="0" fontId="0" fillId="0" borderId="0" xfId="0"/>
    <xf numFmtId="0" fontId="3" fillId="0" borderId="0" xfId="0" applyFont="1"/>
    <xf numFmtId="0" fontId="3"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left" vertical="center" wrapText="1"/>
    </xf>
    <xf numFmtId="0" fontId="4" fillId="0" borderId="0" xfId="0" applyFont="1"/>
    <xf numFmtId="0" fontId="6" fillId="0" borderId="0" xfId="0" applyFont="1"/>
    <xf numFmtId="0" fontId="6" fillId="0" borderId="0" xfId="0" applyFont="1" applyAlignment="1">
      <alignment horizontal="center" vertical="top" wrapText="1"/>
    </xf>
    <xf numFmtId="0" fontId="2" fillId="0" borderId="8" xfId="0" applyFont="1" applyBorder="1"/>
    <xf numFmtId="0" fontId="6" fillId="0" borderId="9" xfId="0" applyFont="1" applyBorder="1"/>
    <xf numFmtId="0" fontId="7" fillId="0" borderId="9" xfId="0" applyFont="1" applyBorder="1"/>
    <xf numFmtId="0" fontId="6" fillId="0" borderId="10" xfId="0" applyFont="1" applyBorder="1"/>
    <xf numFmtId="0" fontId="2" fillId="0" borderId="4" xfId="0" applyFont="1" applyBorder="1" applyAlignment="1">
      <alignment vertical="top"/>
    </xf>
    <xf numFmtId="0" fontId="6" fillId="0" borderId="0" xfId="0" applyFont="1" applyAlignment="1">
      <alignment vertical="top"/>
    </xf>
    <xf numFmtId="0" fontId="6" fillId="0" borderId="7" xfId="0" applyFont="1" applyBorder="1" applyAlignment="1">
      <alignment vertical="top"/>
    </xf>
    <xf numFmtId="0" fontId="6" fillId="0" borderId="6" xfId="0" applyFont="1" applyBorder="1" applyAlignment="1">
      <alignment vertical="top"/>
    </xf>
    <xf numFmtId="0" fontId="6" fillId="0" borderId="11" xfId="0" applyFont="1" applyBorder="1" applyAlignment="1">
      <alignment vertical="top"/>
    </xf>
    <xf numFmtId="0" fontId="6" fillId="0" borderId="2" xfId="0" applyFont="1" applyBorder="1"/>
    <xf numFmtId="0" fontId="6" fillId="0" borderId="5" xfId="0" applyFont="1" applyBorder="1"/>
    <xf numFmtId="0" fontId="6" fillId="0" borderId="3" xfId="0" applyFont="1" applyBorder="1"/>
    <xf numFmtId="0" fontId="9" fillId="0" borderId="2" xfId="0" applyFont="1" applyBorder="1"/>
    <xf numFmtId="0" fontId="9" fillId="0" borderId="4" xfId="0" applyFont="1" applyBorder="1"/>
    <xf numFmtId="0" fontId="6" fillId="0" borderId="12" xfId="0" applyFont="1" applyBorder="1"/>
    <xf numFmtId="0" fontId="6" fillId="0" borderId="8" xfId="0" applyFont="1" applyBorder="1"/>
    <xf numFmtId="0" fontId="6" fillId="0" borderId="7" xfId="0" applyFont="1" applyBorder="1"/>
    <xf numFmtId="0" fontId="6" fillId="0" borderId="11" xfId="0" applyFont="1" applyBorder="1"/>
    <xf numFmtId="0" fontId="2" fillId="0" borderId="1" xfId="0" applyFont="1" applyBorder="1" applyAlignment="1">
      <alignment horizontal="center"/>
    </xf>
    <xf numFmtId="0" fontId="6" fillId="0" borderId="1" xfId="0" applyFont="1" applyBorder="1" applyAlignment="1">
      <alignment horizontal="center"/>
    </xf>
    <xf numFmtId="0" fontId="6" fillId="0" borderId="4" xfId="0" applyFont="1" applyBorder="1"/>
    <xf numFmtId="0" fontId="6" fillId="0" borderId="6" xfId="0" applyFont="1" applyBorder="1"/>
    <xf numFmtId="0" fontId="6" fillId="0" borderId="5" xfId="0" applyFont="1" applyBorder="1" applyAlignment="1">
      <alignment vertical="center"/>
    </xf>
    <xf numFmtId="0" fontId="6" fillId="0" borderId="15" xfId="0" applyFont="1" applyBorder="1"/>
    <xf numFmtId="0" fontId="6" fillId="0" borderId="0" xfId="0" applyFont="1" applyAlignment="1">
      <alignment vertical="center"/>
    </xf>
    <xf numFmtId="0" fontId="2" fillId="0" borderId="3" xfId="0" applyFont="1" applyBorder="1" applyAlignment="1">
      <alignment horizontal="center"/>
    </xf>
    <xf numFmtId="0" fontId="6" fillId="0" borderId="13" xfId="0" applyFont="1" applyBorder="1"/>
    <xf numFmtId="0" fontId="6" fillId="0" borderId="14" xfId="0" applyFont="1" applyBorder="1"/>
    <xf numFmtId="0" fontId="6" fillId="0" borderId="0" xfId="0" applyFont="1" applyAlignment="1">
      <alignment horizontal="left"/>
    </xf>
    <xf numFmtId="0" fontId="2" fillId="0" borderId="2" xfId="0" applyFont="1" applyBorder="1" applyAlignment="1">
      <alignment vertical="center" wrapText="1"/>
    </xf>
    <xf numFmtId="0" fontId="1" fillId="0" borderId="1" xfId="0" applyFont="1" applyBorder="1" applyAlignment="1">
      <alignment vertical="center" wrapText="1"/>
    </xf>
    <xf numFmtId="0" fontId="6" fillId="0" borderId="1" xfId="0" applyFont="1" applyBorder="1" applyAlignment="1">
      <alignment horizontal="center" vertical="top"/>
    </xf>
    <xf numFmtId="0" fontId="6" fillId="0" borderId="9" xfId="0" applyFont="1" applyBorder="1" applyAlignment="1">
      <alignment vertical="top"/>
    </xf>
    <xf numFmtId="0" fontId="2" fillId="0" borderId="5" xfId="0" applyFont="1" applyBorder="1" applyAlignment="1">
      <alignment horizontal="center"/>
    </xf>
    <xf numFmtId="0" fontId="5" fillId="0" borderId="29" xfId="0" applyFont="1" applyBorder="1"/>
    <xf numFmtId="0" fontId="11" fillId="3" borderId="30" xfId="0" applyFont="1" applyFill="1" applyBorder="1"/>
    <xf numFmtId="0" fontId="5" fillId="0" borderId="0" xfId="0" applyFont="1"/>
    <xf numFmtId="0" fontId="5" fillId="0" borderId="23" xfId="0" applyFont="1" applyBorder="1" applyAlignment="1">
      <alignment horizontal="center" vertical="center"/>
    </xf>
    <xf numFmtId="0" fontId="5" fillId="0" borderId="30" xfId="0" applyFont="1" applyBorder="1" applyAlignment="1">
      <alignment horizontal="center"/>
    </xf>
    <xf numFmtId="0" fontId="11" fillId="0" borderId="0" xfId="0" applyFont="1" applyAlignment="1">
      <alignment horizontal="center" vertical="center" wrapText="1"/>
    </xf>
    <xf numFmtId="0" fontId="5" fillId="0" borderId="18" xfId="0" applyFont="1" applyBorder="1" applyAlignment="1">
      <alignment horizontal="center" vertical="center"/>
    </xf>
    <xf numFmtId="0" fontId="5" fillId="0" borderId="25" xfId="0" applyFont="1" applyBorder="1" applyAlignment="1">
      <alignment horizontal="center"/>
    </xf>
    <xf numFmtId="0" fontId="5" fillId="0" borderId="16" xfId="0" applyFont="1" applyBorder="1" applyAlignment="1">
      <alignment horizontal="center"/>
    </xf>
    <xf numFmtId="0" fontId="11" fillId="0" borderId="28"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5" fillId="8" borderId="18" xfId="0" applyFont="1" applyFill="1" applyBorder="1"/>
    <xf numFmtId="0" fontId="6" fillId="0" borderId="1" xfId="0" applyFont="1" applyBorder="1"/>
    <xf numFmtId="0" fontId="6" fillId="0" borderId="1" xfId="0" applyFont="1" applyBorder="1" applyAlignment="1">
      <alignment horizontal="center" vertical="center"/>
    </xf>
    <xf numFmtId="0" fontId="12" fillId="0" borderId="0" xfId="0" applyFont="1" applyAlignment="1">
      <alignment horizontal="right" vertical="center" wrapText="1"/>
    </xf>
    <xf numFmtId="0" fontId="11" fillId="0" borderId="0" xfId="0" applyFont="1"/>
    <xf numFmtId="0" fontId="9" fillId="0" borderId="0" xfId="0" applyFont="1"/>
    <xf numFmtId="0" fontId="6" fillId="0" borderId="0" xfId="0" applyFont="1" applyAlignment="1">
      <alignment horizontal="left" vertical="top" wrapText="1"/>
    </xf>
    <xf numFmtId="0" fontId="6" fillId="0" borderId="0" xfId="0" applyFont="1" applyAlignment="1">
      <alignment horizontal="center"/>
    </xf>
    <xf numFmtId="0" fontId="6" fillId="0" borderId="0" xfId="0" quotePrefix="1"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2" fillId="0" borderId="2"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left" vertical="center" wrapText="1"/>
    </xf>
    <xf numFmtId="49" fontId="2" fillId="0" borderId="2" xfId="0" applyNumberFormat="1" applyFont="1" applyBorder="1" applyAlignment="1">
      <alignment horizontal="left" vertical="center" wrapText="1"/>
    </xf>
    <xf numFmtId="49" fontId="2" fillId="0" borderId="5"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6" fillId="0" borderId="1" xfId="0" applyFont="1" applyBorder="1" applyAlignment="1">
      <alignment horizontal="center" vertical="top" wrapText="1"/>
    </xf>
    <xf numFmtId="0" fontId="6" fillId="0" borderId="2" xfId="0" applyFont="1" applyBorder="1" applyAlignment="1">
      <alignment horizontal="center" vertical="top" wrapText="1"/>
    </xf>
    <xf numFmtId="0" fontId="5" fillId="0" borderId="1" xfId="0" applyFont="1" applyBorder="1" applyAlignment="1">
      <alignment horizontal="left" vertical="top" wrapText="1"/>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1" xfId="0" applyFont="1" applyBorder="1" applyAlignment="1">
      <alignment horizontal="center" vertical="center"/>
    </xf>
    <xf numFmtId="0" fontId="2" fillId="0" borderId="2" xfId="0" applyFont="1" applyBorder="1" applyAlignment="1">
      <alignment horizontal="center"/>
    </xf>
    <xf numFmtId="0" fontId="2" fillId="0" borderId="5"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0" fontId="6" fillId="2" borderId="5" xfId="0" applyFont="1" applyFill="1" applyBorder="1" applyAlignment="1">
      <alignment horizontal="center" vertical="center"/>
    </xf>
    <xf numFmtId="0" fontId="6" fillId="2" borderId="3" xfId="0" applyFont="1" applyFill="1" applyBorder="1" applyAlignment="1">
      <alignment horizontal="center" vertical="center"/>
    </xf>
    <xf numFmtId="0" fontId="6" fillId="0" borderId="8" xfId="0" applyFont="1" applyBorder="1" applyAlignment="1">
      <alignment horizontal="center"/>
    </xf>
    <xf numFmtId="0" fontId="6" fillId="0" borderId="10" xfId="0" applyFont="1" applyBorder="1" applyAlignment="1">
      <alignment horizontal="center"/>
    </xf>
    <xf numFmtId="0" fontId="6" fillId="0" borderId="4" xfId="0" applyFont="1" applyBorder="1" applyAlignment="1">
      <alignment horizontal="center"/>
    </xf>
    <xf numFmtId="0" fontId="6" fillId="0" borderId="12"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0" fontId="6" fillId="2" borderId="2" xfId="0" quotePrefix="1" applyFont="1" applyFill="1" applyBorder="1" applyAlignment="1">
      <alignment horizontal="center" vertical="center"/>
    </xf>
    <xf numFmtId="0" fontId="6" fillId="2" borderId="24" xfId="0" quotePrefix="1" applyFont="1" applyFill="1" applyBorder="1" applyAlignment="1">
      <alignment horizontal="center" vertical="center"/>
    </xf>
    <xf numFmtId="17" fontId="6" fillId="2" borderId="2" xfId="0" quotePrefix="1" applyNumberFormat="1" applyFont="1" applyFill="1" applyBorder="1" applyAlignment="1">
      <alignment horizontal="center" vertical="center"/>
    </xf>
    <xf numFmtId="17" fontId="6" fillId="2" borderId="24" xfId="0" quotePrefix="1" applyNumberFormat="1" applyFont="1" applyFill="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14" fontId="2" fillId="0" borderId="2" xfId="0" applyNumberFormat="1" applyFont="1" applyBorder="1" applyAlignment="1">
      <alignment horizontal="left" vertical="center" wrapText="1"/>
    </xf>
    <xf numFmtId="0" fontId="6" fillId="2" borderId="5" xfId="0" quotePrefix="1" applyFont="1" applyFill="1" applyBorder="1" applyAlignment="1">
      <alignment horizontal="center" vertical="center"/>
    </xf>
    <xf numFmtId="0" fontId="6" fillId="2" borderId="19" xfId="0" quotePrefix="1" applyFont="1" applyFill="1" applyBorder="1" applyAlignment="1">
      <alignment horizontal="center" vertical="center"/>
    </xf>
    <xf numFmtId="0" fontId="6" fillId="0" borderId="19" xfId="0" applyFont="1" applyBorder="1" applyAlignment="1">
      <alignment horizontal="center"/>
    </xf>
    <xf numFmtId="0" fontId="6" fillId="0" borderId="3" xfId="0" applyFont="1" applyBorder="1" applyAlignment="1">
      <alignment horizontal="center"/>
    </xf>
    <xf numFmtId="17" fontId="6" fillId="2" borderId="5" xfId="0" quotePrefix="1" applyNumberFormat="1" applyFont="1" applyFill="1" applyBorder="1" applyAlignment="1">
      <alignment horizontal="center" vertical="center"/>
    </xf>
    <xf numFmtId="0" fontId="6" fillId="0" borderId="2" xfId="0" applyFont="1" applyBorder="1" applyAlignment="1">
      <alignment horizontal="left"/>
    </xf>
    <xf numFmtId="0" fontId="6" fillId="0" borderId="5" xfId="0" applyFont="1" applyBorder="1" applyAlignment="1">
      <alignment horizontal="left"/>
    </xf>
    <xf numFmtId="0" fontId="6" fillId="0" borderId="3" xfId="0" applyFont="1" applyBorder="1" applyAlignment="1">
      <alignment horizontal="left"/>
    </xf>
    <xf numFmtId="0" fontId="6" fillId="0" borderId="2" xfId="0" applyFont="1" applyBorder="1" applyAlignment="1">
      <alignment horizontal="center"/>
    </xf>
    <xf numFmtId="0" fontId="6" fillId="0" borderId="5" xfId="0" applyFont="1" applyBorder="1" applyAlignment="1">
      <alignment horizontal="center"/>
    </xf>
    <xf numFmtId="16" fontId="6" fillId="0" borderId="2" xfId="0" applyNumberFormat="1" applyFont="1" applyBorder="1" applyAlignment="1">
      <alignment horizontal="center"/>
    </xf>
    <xf numFmtId="16" fontId="6" fillId="0" borderId="3" xfId="0" quotePrefix="1" applyNumberFormat="1" applyFont="1" applyBorder="1" applyAlignment="1">
      <alignment horizontal="center"/>
    </xf>
    <xf numFmtId="0" fontId="2" fillId="0" borderId="1" xfId="0" applyFont="1" applyBorder="1" applyAlignment="1">
      <alignment horizontal="center" vertical="center"/>
    </xf>
    <xf numFmtId="0" fontId="6" fillId="0" borderId="10" xfId="0" applyFont="1" applyBorder="1"/>
    <xf numFmtId="0" fontId="6" fillId="0" borderId="4" xfId="0" applyFont="1" applyBorder="1"/>
    <xf numFmtId="0" fontId="6" fillId="0" borderId="0" xfId="0" applyFont="1"/>
    <xf numFmtId="0" fontId="6" fillId="0" borderId="12" xfId="0" applyFont="1" applyBorder="1"/>
    <xf numFmtId="0" fontId="6" fillId="0" borderId="6" xfId="0" applyFont="1" applyBorder="1"/>
    <xf numFmtId="0" fontId="6" fillId="0" borderId="7" xfId="0" applyFont="1" applyBorder="1"/>
    <xf numFmtId="0" fontId="6" fillId="0" borderId="11" xfId="0" applyFont="1" applyBorder="1"/>
    <xf numFmtId="0" fontId="6" fillId="0" borderId="1" xfId="0" applyFont="1" applyBorder="1" applyAlignment="1">
      <alignment horizontal="center"/>
    </xf>
    <xf numFmtId="17" fontId="6" fillId="0" borderId="2" xfId="0" applyNumberFormat="1" applyFont="1" applyBorder="1" applyAlignment="1">
      <alignment horizontal="center"/>
    </xf>
    <xf numFmtId="17" fontId="6" fillId="0" borderId="3" xfId="0" quotePrefix="1" applyNumberFormat="1" applyFont="1" applyBorder="1" applyAlignment="1">
      <alignment horizontal="center"/>
    </xf>
    <xf numFmtId="0" fontId="5" fillId="0" borderId="26" xfId="0" applyFont="1" applyBorder="1" applyAlignment="1">
      <alignment horizontal="center"/>
    </xf>
    <xf numFmtId="0" fontId="5" fillId="0" borderId="18" xfId="0" applyFont="1" applyBorder="1" applyAlignment="1">
      <alignment horizontal="center"/>
    </xf>
    <xf numFmtId="0" fontId="5" fillId="0" borderId="26" xfId="0" applyFont="1" applyBorder="1" applyAlignment="1">
      <alignment horizontal="center" wrapText="1"/>
    </xf>
    <xf numFmtId="0" fontId="5" fillId="0" borderId="18" xfId="0" applyFont="1" applyBorder="1" applyAlignment="1">
      <alignment horizontal="center" wrapText="1"/>
    </xf>
    <xf numFmtId="0" fontId="5" fillId="0" borderId="27" xfId="0" applyFont="1" applyBorder="1" applyAlignment="1">
      <alignment horizontal="center" wrapText="1"/>
    </xf>
    <xf numFmtId="0" fontId="5" fillId="0" borderId="20" xfId="0" applyFont="1" applyBorder="1" applyAlignment="1">
      <alignment horizontal="center" wrapText="1"/>
    </xf>
    <xf numFmtId="0" fontId="5" fillId="0" borderId="2" xfId="0" applyFont="1" applyBorder="1" applyAlignment="1">
      <alignment horizontal="left" vertical="top" wrapText="1"/>
    </xf>
    <xf numFmtId="0" fontId="5" fillId="0" borderId="5" xfId="0" applyFont="1" applyBorder="1" applyAlignment="1">
      <alignment horizontal="left" vertical="top" wrapText="1"/>
    </xf>
    <xf numFmtId="0" fontId="5" fillId="0" borderId="3" xfId="0" applyFont="1" applyBorder="1" applyAlignment="1">
      <alignment horizontal="left" vertical="top" wrapText="1"/>
    </xf>
    <xf numFmtId="0" fontId="6" fillId="0" borderId="2" xfId="0" applyFont="1" applyBorder="1" applyAlignment="1">
      <alignment horizontal="left" vertical="top" wrapText="1"/>
    </xf>
    <xf numFmtId="0" fontId="6" fillId="0" borderId="5" xfId="0" applyFont="1" applyBorder="1" applyAlignment="1">
      <alignment horizontal="left" vertical="top" wrapText="1"/>
    </xf>
    <xf numFmtId="0" fontId="6" fillId="0" borderId="24" xfId="0" applyFont="1" applyBorder="1" applyAlignment="1">
      <alignment horizontal="left" vertical="top" wrapText="1"/>
    </xf>
    <xf numFmtId="0" fontId="11" fillId="0" borderId="1" xfId="0" applyFont="1" applyBorder="1" applyAlignment="1">
      <alignment horizontal="center" vertical="center" wrapText="1"/>
    </xf>
    <xf numFmtId="0" fontId="5" fillId="0" borderId="15" xfId="0" applyFont="1" applyBorder="1" applyAlignment="1">
      <alignment horizontal="center"/>
    </xf>
    <xf numFmtId="0" fontId="5" fillId="7" borderId="1" xfId="0" applyFont="1" applyFill="1" applyBorder="1" applyAlignment="1">
      <alignment horizontal="center" vertical="center"/>
    </xf>
    <xf numFmtId="0" fontId="5" fillId="0" borderId="1" xfId="0" applyFont="1" applyBorder="1" applyAlignment="1">
      <alignment horizontal="center" vertical="center"/>
    </xf>
    <xf numFmtId="0" fontId="12" fillId="0" borderId="21" xfId="0" applyFont="1" applyBorder="1" applyAlignment="1">
      <alignment horizontal="right" vertical="center" wrapText="1"/>
    </xf>
    <xf numFmtId="0" fontId="4" fillId="0" borderId="22" xfId="0" applyFont="1" applyBorder="1"/>
    <xf numFmtId="0" fontId="4" fillId="0" borderId="17" xfId="0" applyFont="1" applyBorder="1"/>
    <xf numFmtId="0" fontId="4" fillId="0" borderId="18" xfId="0" applyFont="1" applyBorder="1"/>
    <xf numFmtId="0" fontId="11" fillId="0" borderId="1" xfId="0" applyFont="1" applyBorder="1" applyAlignment="1">
      <alignment horizontal="center" vertical="center"/>
    </xf>
    <xf numFmtId="0" fontId="10" fillId="0" borderId="0" xfId="0" applyFont="1" applyAlignment="1">
      <alignment horizontal="center" vertical="center" wrapText="1"/>
    </xf>
    <xf numFmtId="0" fontId="13" fillId="4" borderId="8" xfId="0" applyFont="1" applyFill="1" applyBorder="1" applyAlignment="1">
      <alignment horizontal="center" vertical="center"/>
    </xf>
    <xf numFmtId="0" fontId="13" fillId="4" borderId="9" xfId="0" applyFont="1" applyFill="1" applyBorder="1" applyAlignment="1">
      <alignment horizontal="center" vertical="center"/>
    </xf>
    <xf numFmtId="0" fontId="13" fillId="4" borderId="10" xfId="0" applyFont="1" applyFill="1" applyBorder="1" applyAlignment="1">
      <alignment horizontal="center" vertical="center"/>
    </xf>
    <xf numFmtId="0" fontId="13" fillId="4" borderId="4" xfId="0" applyFont="1" applyFill="1" applyBorder="1" applyAlignment="1">
      <alignment horizontal="center" vertical="center"/>
    </xf>
    <xf numFmtId="0" fontId="13" fillId="4" borderId="0" xfId="0" applyFont="1" applyFill="1" applyAlignment="1">
      <alignment horizontal="center" vertical="center"/>
    </xf>
    <xf numFmtId="0" fontId="13" fillId="4" borderId="12" xfId="0" applyFont="1" applyFill="1" applyBorder="1" applyAlignment="1">
      <alignment horizontal="center" vertical="center"/>
    </xf>
    <xf numFmtId="0" fontId="13" fillId="4" borderId="6"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11" xfId="0" applyFont="1" applyFill="1" applyBorder="1" applyAlignment="1">
      <alignment horizontal="center" vertical="center"/>
    </xf>
    <xf numFmtId="0" fontId="6" fillId="6" borderId="1" xfId="0" applyFont="1" applyFill="1" applyBorder="1" applyAlignment="1">
      <alignment horizontal="center"/>
    </xf>
    <xf numFmtId="0" fontId="5" fillId="0" borderId="1" xfId="0" applyFont="1" applyBorder="1" applyAlignment="1">
      <alignment horizontal="center"/>
    </xf>
    <xf numFmtId="0" fontId="11" fillId="0" borderId="1" xfId="0" applyFont="1" applyBorder="1" applyAlignment="1">
      <alignment horizontal="center" vertical="center" shrinkToFit="1"/>
    </xf>
    <xf numFmtId="0" fontId="5" fillId="0" borderId="1" xfId="0" applyFont="1" applyBorder="1" applyAlignment="1">
      <alignment horizontal="center" shrinkToFit="1"/>
    </xf>
    <xf numFmtId="0" fontId="5" fillId="0" borderId="13" xfId="0" applyFont="1" applyBorder="1" applyAlignment="1">
      <alignment horizontal="center" shrinkToFit="1"/>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6" fillId="5" borderId="2" xfId="0" applyFont="1" applyFill="1" applyBorder="1" applyAlignment="1">
      <alignment horizontal="center"/>
    </xf>
    <xf numFmtId="0" fontId="6" fillId="5" borderId="5" xfId="0" applyFont="1" applyFill="1" applyBorder="1" applyAlignment="1">
      <alignment horizontal="center"/>
    </xf>
    <xf numFmtId="0" fontId="6" fillId="5" borderId="3" xfId="0" applyFont="1" applyFill="1" applyBorder="1" applyAlignment="1">
      <alignment horizontal="center"/>
    </xf>
  </cellXfs>
  <cellStyles count="1">
    <cellStyle name="Normal" xfId="0" builtinId="0"/>
  </cellStyles>
  <dxfs count="0"/>
  <tableStyles count="0" defaultTableStyle="TableStyleMedium9" defaultPivotStyle="PivotStyleLight16"/>
  <colors>
    <mruColors>
      <color rgb="FF66FF33"/>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100"/>
  <sheetViews>
    <sheetView showGridLines="0" tabSelected="1" topLeftCell="A76" zoomScaleNormal="100" workbookViewId="0">
      <selection activeCell="E86" sqref="E86:F86"/>
    </sheetView>
  </sheetViews>
  <sheetFormatPr defaultColWidth="9.1796875" defaultRowHeight="14" x14ac:dyDescent="0.3"/>
  <cols>
    <col min="1" max="2" width="6.453125" style="6" customWidth="1"/>
    <col min="3" max="3" width="7.26953125" style="6" customWidth="1"/>
    <col min="4" max="5" width="26.54296875" style="6" customWidth="1"/>
    <col min="6" max="6" width="21" style="6" customWidth="1"/>
    <col min="7" max="8" width="5.7265625" style="6" customWidth="1"/>
    <col min="9" max="14" width="2.7265625" style="6" customWidth="1"/>
    <col min="15" max="16" width="9.1796875" style="6" customWidth="1"/>
    <col min="17" max="16384" width="9.1796875" style="6"/>
  </cols>
  <sheetData>
    <row r="2" spans="1:14" ht="15" customHeight="1" x14ac:dyDescent="0.3">
      <c r="A2" s="74"/>
      <c r="B2" s="74"/>
      <c r="C2" s="74"/>
      <c r="D2" s="102" t="s">
        <v>140</v>
      </c>
      <c r="E2" s="103"/>
      <c r="F2" s="38" t="s">
        <v>21</v>
      </c>
      <c r="G2" s="68"/>
      <c r="H2" s="69"/>
      <c r="I2" s="69"/>
      <c r="J2" s="69"/>
      <c r="K2" s="69"/>
      <c r="L2" s="69"/>
      <c r="M2" s="69"/>
      <c r="N2" s="70"/>
    </row>
    <row r="3" spans="1:14" ht="13.5" customHeight="1" x14ac:dyDescent="0.3">
      <c r="A3" s="74"/>
      <c r="B3" s="74"/>
      <c r="C3" s="75"/>
      <c r="D3" s="65" t="s">
        <v>141</v>
      </c>
      <c r="E3" s="99"/>
      <c r="F3" s="37" t="s">
        <v>22</v>
      </c>
      <c r="G3" s="104"/>
      <c r="H3" s="69"/>
      <c r="I3" s="69"/>
      <c r="J3" s="69"/>
      <c r="K3" s="69"/>
      <c r="L3" s="69"/>
      <c r="M3" s="69"/>
      <c r="N3" s="70"/>
    </row>
    <row r="4" spans="1:14" ht="13.5" customHeight="1" x14ac:dyDescent="0.3">
      <c r="A4" s="74"/>
      <c r="B4" s="74"/>
      <c r="C4" s="75"/>
      <c r="D4" s="66"/>
      <c r="E4" s="100"/>
      <c r="F4" s="37" t="s">
        <v>23</v>
      </c>
      <c r="G4" s="71" t="s">
        <v>25</v>
      </c>
      <c r="H4" s="72"/>
      <c r="I4" s="72"/>
      <c r="J4" s="72"/>
      <c r="K4" s="72"/>
      <c r="L4" s="72"/>
      <c r="M4" s="72"/>
      <c r="N4" s="73"/>
    </row>
    <row r="5" spans="1:14" ht="14.25" customHeight="1" x14ac:dyDescent="0.3">
      <c r="A5" s="74"/>
      <c r="B5" s="74"/>
      <c r="C5" s="75"/>
      <c r="D5" s="67"/>
      <c r="E5" s="101"/>
      <c r="F5" s="37" t="s">
        <v>24</v>
      </c>
      <c r="G5" s="68" t="s">
        <v>26</v>
      </c>
      <c r="H5" s="69"/>
      <c r="I5" s="69"/>
      <c r="J5" s="69"/>
      <c r="K5" s="69"/>
      <c r="L5" s="69"/>
      <c r="M5" s="69"/>
      <c r="N5" s="70"/>
    </row>
    <row r="6" spans="1:14" ht="3" customHeight="1" x14ac:dyDescent="0.3">
      <c r="A6" s="7"/>
      <c r="B6" s="7"/>
      <c r="C6" s="7"/>
      <c r="D6" s="3"/>
      <c r="E6" s="3"/>
      <c r="F6" s="3"/>
      <c r="G6" s="4"/>
      <c r="H6" s="4"/>
      <c r="I6" s="4"/>
      <c r="J6" s="4"/>
      <c r="K6" s="4"/>
      <c r="L6" s="4"/>
      <c r="M6" s="4"/>
      <c r="N6" s="4"/>
    </row>
    <row r="7" spans="1:14" x14ac:dyDescent="0.3">
      <c r="A7" s="8"/>
      <c r="B7" s="9"/>
      <c r="C7" s="9"/>
      <c r="D7" s="9"/>
      <c r="E7" s="9"/>
      <c r="F7" s="9" t="s">
        <v>3</v>
      </c>
      <c r="G7" s="10" t="s">
        <v>75</v>
      </c>
      <c r="H7" s="9"/>
      <c r="I7" s="9"/>
      <c r="J7" s="9"/>
      <c r="K7" s="10"/>
      <c r="L7" s="10"/>
      <c r="M7" s="9"/>
      <c r="N7" s="11"/>
    </row>
    <row r="8" spans="1:14" ht="19.5" customHeight="1" x14ac:dyDescent="0.3">
      <c r="A8" s="12" t="s">
        <v>29</v>
      </c>
      <c r="B8" s="13"/>
      <c r="C8" s="13"/>
      <c r="D8" s="13"/>
      <c r="E8" s="13"/>
      <c r="F8" s="14" t="s">
        <v>4</v>
      </c>
      <c r="G8" s="14" t="s">
        <v>30</v>
      </c>
      <c r="H8" s="14"/>
      <c r="I8" s="15"/>
      <c r="J8" s="14"/>
      <c r="K8" s="14"/>
      <c r="L8" s="14"/>
      <c r="M8" s="14"/>
      <c r="N8" s="16"/>
    </row>
    <row r="9" spans="1:14" x14ac:dyDescent="0.3">
      <c r="A9" s="17" t="s">
        <v>2</v>
      </c>
      <c r="B9" s="18"/>
      <c r="C9" s="18" t="s">
        <v>28</v>
      </c>
      <c r="D9" s="18"/>
      <c r="E9" s="18"/>
      <c r="F9" s="17" t="s">
        <v>6</v>
      </c>
      <c r="G9" s="110" t="s">
        <v>5</v>
      </c>
      <c r="H9" s="111"/>
      <c r="I9" s="111"/>
      <c r="J9" s="111"/>
      <c r="K9" s="111"/>
      <c r="L9" s="111"/>
      <c r="M9" s="111"/>
      <c r="N9" s="112"/>
    </row>
    <row r="10" spans="1:14" x14ac:dyDescent="0.3">
      <c r="A10" s="17" t="s">
        <v>0</v>
      </c>
      <c r="B10" s="18"/>
      <c r="C10" s="18" t="s">
        <v>28</v>
      </c>
      <c r="D10" s="18"/>
      <c r="E10" s="18"/>
      <c r="F10" s="17" t="s">
        <v>7</v>
      </c>
      <c r="G10" s="110" t="s">
        <v>5</v>
      </c>
      <c r="H10" s="111"/>
      <c r="I10" s="111"/>
      <c r="J10" s="111"/>
      <c r="K10" s="111"/>
      <c r="L10" s="111"/>
      <c r="M10" s="111"/>
      <c r="N10" s="112"/>
    </row>
    <row r="11" spans="1:14" x14ac:dyDescent="0.3">
      <c r="A11" s="17" t="s">
        <v>1</v>
      </c>
      <c r="B11" s="18"/>
      <c r="C11" s="18" t="s">
        <v>28</v>
      </c>
      <c r="D11" s="18"/>
      <c r="E11" s="18"/>
      <c r="F11" s="17" t="s">
        <v>31</v>
      </c>
      <c r="G11" s="110" t="s">
        <v>28</v>
      </c>
      <c r="H11" s="111"/>
      <c r="I11" s="111"/>
      <c r="J11" s="111"/>
      <c r="K11" s="111"/>
      <c r="L11" s="111"/>
      <c r="M11" s="111"/>
      <c r="N11" s="112"/>
    </row>
    <row r="12" spans="1:14" ht="7.5" customHeight="1" x14ac:dyDescent="0.3">
      <c r="A12" s="17"/>
      <c r="B12" s="18"/>
      <c r="C12" s="18"/>
      <c r="D12" s="18"/>
      <c r="E12" s="18"/>
      <c r="F12" s="18"/>
      <c r="G12" s="18"/>
      <c r="H12" s="18"/>
      <c r="I12" s="18"/>
      <c r="J12" s="18"/>
      <c r="K12" s="18"/>
      <c r="L12" s="18"/>
      <c r="M12" s="18"/>
      <c r="N12" s="19"/>
    </row>
    <row r="13" spans="1:14" x14ac:dyDescent="0.3">
      <c r="A13" s="117" t="s">
        <v>8</v>
      </c>
      <c r="B13" s="117"/>
      <c r="C13" s="117"/>
      <c r="D13" s="77" t="s">
        <v>9</v>
      </c>
      <c r="E13" s="78"/>
      <c r="F13" s="118"/>
      <c r="G13" s="83" t="s">
        <v>80</v>
      </c>
      <c r="H13" s="84"/>
      <c r="I13" s="84"/>
      <c r="J13" s="84"/>
      <c r="K13" s="84"/>
      <c r="L13" s="84"/>
      <c r="M13" s="84"/>
      <c r="N13" s="85"/>
    </row>
    <row r="14" spans="1:14" x14ac:dyDescent="0.3">
      <c r="A14" s="117"/>
      <c r="B14" s="117"/>
      <c r="C14" s="117"/>
      <c r="D14" s="119"/>
      <c r="E14" s="120"/>
      <c r="F14" s="121"/>
      <c r="G14" s="113" t="s">
        <v>85</v>
      </c>
      <c r="H14" s="114"/>
      <c r="I14" s="114"/>
      <c r="J14" s="114"/>
      <c r="K14" s="114"/>
      <c r="L14" s="114"/>
      <c r="M14" s="114"/>
      <c r="N14" s="108"/>
    </row>
    <row r="15" spans="1:14" x14ac:dyDescent="0.3">
      <c r="A15" s="117"/>
      <c r="B15" s="117"/>
      <c r="C15" s="117"/>
      <c r="D15" s="122"/>
      <c r="E15" s="123"/>
      <c r="F15" s="124"/>
      <c r="G15" s="125" t="s">
        <v>81</v>
      </c>
      <c r="H15" s="125"/>
      <c r="I15" s="126" t="s">
        <v>82</v>
      </c>
      <c r="J15" s="127"/>
      <c r="K15" s="115" t="s">
        <v>83</v>
      </c>
      <c r="L15" s="116"/>
      <c r="M15" s="113" t="s">
        <v>84</v>
      </c>
      <c r="N15" s="108"/>
    </row>
    <row r="16" spans="1:14" x14ac:dyDescent="0.3">
      <c r="A16" s="20" t="s">
        <v>32</v>
      </c>
      <c r="B16" s="18"/>
      <c r="C16" s="18"/>
      <c r="D16" s="18"/>
      <c r="E16" s="18"/>
      <c r="F16" s="18"/>
      <c r="G16" s="18"/>
      <c r="H16" s="18"/>
      <c r="I16" s="18"/>
      <c r="J16" s="18"/>
      <c r="K16" s="18"/>
      <c r="L16" s="18"/>
      <c r="M16" s="18"/>
      <c r="N16" s="19"/>
    </row>
    <row r="17" spans="1:14" ht="15" customHeight="1" x14ac:dyDescent="0.3">
      <c r="A17" s="39">
        <v>1</v>
      </c>
      <c r="B17" s="76" t="s">
        <v>33</v>
      </c>
      <c r="C17" s="76"/>
      <c r="D17" s="76"/>
      <c r="E17" s="76"/>
      <c r="F17" s="76"/>
      <c r="G17" s="87">
        <v>5</v>
      </c>
      <c r="H17" s="88"/>
      <c r="I17" s="89"/>
      <c r="J17" s="90"/>
      <c r="K17" s="89"/>
      <c r="L17" s="90"/>
      <c r="M17" s="89"/>
      <c r="N17" s="90"/>
    </row>
    <row r="18" spans="1:14" ht="14.25" customHeight="1" x14ac:dyDescent="0.3">
      <c r="A18" s="39">
        <v>2</v>
      </c>
      <c r="B18" s="76" t="s">
        <v>34</v>
      </c>
      <c r="C18" s="76"/>
      <c r="D18" s="76"/>
      <c r="E18" s="76"/>
      <c r="F18" s="76"/>
      <c r="G18" s="87">
        <v>4</v>
      </c>
      <c r="H18" s="88"/>
      <c r="I18" s="91"/>
      <c r="J18" s="92"/>
      <c r="K18" s="91"/>
      <c r="L18" s="92"/>
      <c r="M18" s="91"/>
      <c r="N18" s="92"/>
    </row>
    <row r="19" spans="1:14" ht="14.25" customHeight="1" x14ac:dyDescent="0.3">
      <c r="A19" s="39">
        <v>3</v>
      </c>
      <c r="B19" s="76" t="s">
        <v>35</v>
      </c>
      <c r="C19" s="76"/>
      <c r="D19" s="76"/>
      <c r="E19" s="76"/>
      <c r="F19" s="76"/>
      <c r="G19" s="87">
        <v>3</v>
      </c>
      <c r="H19" s="88"/>
      <c r="I19" s="91"/>
      <c r="J19" s="92"/>
      <c r="K19" s="91"/>
      <c r="L19" s="92"/>
      <c r="M19" s="91"/>
      <c r="N19" s="92"/>
    </row>
    <row r="20" spans="1:14" ht="14.25" customHeight="1" x14ac:dyDescent="0.3">
      <c r="A20" s="39">
        <v>4</v>
      </c>
      <c r="B20" s="76" t="s">
        <v>36</v>
      </c>
      <c r="C20" s="76"/>
      <c r="D20" s="76"/>
      <c r="E20" s="76"/>
      <c r="F20" s="76"/>
      <c r="G20" s="87">
        <v>2</v>
      </c>
      <c r="H20" s="88"/>
      <c r="I20" s="93"/>
      <c r="J20" s="94"/>
      <c r="K20" s="93"/>
      <c r="L20" s="94"/>
      <c r="M20" s="93"/>
      <c r="N20" s="94"/>
    </row>
    <row r="21" spans="1:14" x14ac:dyDescent="0.3">
      <c r="A21" s="20" t="s">
        <v>37</v>
      </c>
      <c r="B21" s="9"/>
      <c r="C21" s="9"/>
      <c r="D21" s="40"/>
      <c r="E21" s="40"/>
      <c r="F21" s="40"/>
      <c r="G21" s="30"/>
      <c r="H21" s="30"/>
      <c r="I21" s="18"/>
      <c r="J21" s="18"/>
      <c r="K21" s="18"/>
      <c r="L21" s="18"/>
      <c r="M21" s="18"/>
      <c r="N21" s="19"/>
    </row>
    <row r="22" spans="1:14" ht="30" customHeight="1" x14ac:dyDescent="0.3">
      <c r="A22" s="39">
        <v>1</v>
      </c>
      <c r="B22" s="76" t="s">
        <v>38</v>
      </c>
      <c r="C22" s="76"/>
      <c r="D22" s="76"/>
      <c r="E22" s="76"/>
      <c r="F22" s="76"/>
      <c r="G22" s="87">
        <v>5</v>
      </c>
      <c r="H22" s="88"/>
      <c r="I22" s="89"/>
      <c r="J22" s="90"/>
      <c r="K22" s="89"/>
      <c r="L22" s="90"/>
      <c r="M22" s="89"/>
      <c r="N22" s="90"/>
    </row>
    <row r="23" spans="1:14" ht="30" customHeight="1" x14ac:dyDescent="0.3">
      <c r="A23" s="39">
        <v>2</v>
      </c>
      <c r="B23" s="76" t="s">
        <v>39</v>
      </c>
      <c r="C23" s="76"/>
      <c r="D23" s="76"/>
      <c r="E23" s="76"/>
      <c r="F23" s="76"/>
      <c r="G23" s="87">
        <v>4</v>
      </c>
      <c r="H23" s="88"/>
      <c r="I23" s="91"/>
      <c r="J23" s="92"/>
      <c r="K23" s="91"/>
      <c r="L23" s="92"/>
      <c r="M23" s="91"/>
      <c r="N23" s="92"/>
    </row>
    <row r="24" spans="1:14" ht="30" customHeight="1" x14ac:dyDescent="0.3">
      <c r="A24" s="39">
        <v>3</v>
      </c>
      <c r="B24" s="76" t="s">
        <v>40</v>
      </c>
      <c r="C24" s="76"/>
      <c r="D24" s="76"/>
      <c r="E24" s="76"/>
      <c r="F24" s="76"/>
      <c r="G24" s="87">
        <v>3</v>
      </c>
      <c r="H24" s="88"/>
      <c r="I24" s="91"/>
      <c r="J24" s="92"/>
      <c r="K24" s="91"/>
      <c r="L24" s="92"/>
      <c r="M24" s="91"/>
      <c r="N24" s="92"/>
    </row>
    <row r="25" spans="1:14" ht="30" customHeight="1" x14ac:dyDescent="0.3">
      <c r="A25" s="39">
        <v>4</v>
      </c>
      <c r="B25" s="76" t="s">
        <v>41</v>
      </c>
      <c r="C25" s="76"/>
      <c r="D25" s="76"/>
      <c r="E25" s="76"/>
      <c r="F25" s="76"/>
      <c r="G25" s="87">
        <v>2</v>
      </c>
      <c r="H25" s="88"/>
      <c r="I25" s="93"/>
      <c r="J25" s="94"/>
      <c r="K25" s="93"/>
      <c r="L25" s="94"/>
      <c r="M25" s="93"/>
      <c r="N25" s="94"/>
    </row>
    <row r="26" spans="1:14" x14ac:dyDescent="0.3">
      <c r="A26" s="20" t="s">
        <v>42</v>
      </c>
      <c r="D26" s="13"/>
      <c r="E26" s="13"/>
      <c r="F26" s="13"/>
      <c r="G26" s="30"/>
      <c r="H26" s="30"/>
      <c r="I26" s="18"/>
      <c r="J26" s="18"/>
      <c r="K26" s="18"/>
      <c r="L26" s="18"/>
      <c r="M26" s="18"/>
      <c r="N26" s="19"/>
    </row>
    <row r="27" spans="1:14" ht="60" customHeight="1" x14ac:dyDescent="0.3">
      <c r="A27" s="39">
        <v>1</v>
      </c>
      <c r="B27" s="76" t="s">
        <v>76</v>
      </c>
      <c r="C27" s="76"/>
      <c r="D27" s="76"/>
      <c r="E27" s="76"/>
      <c r="F27" s="76"/>
      <c r="G27" s="87">
        <v>5</v>
      </c>
      <c r="H27" s="88"/>
      <c r="I27" s="89"/>
      <c r="J27" s="90"/>
      <c r="K27" s="89"/>
      <c r="L27" s="90"/>
      <c r="M27" s="89"/>
      <c r="N27" s="90"/>
    </row>
    <row r="28" spans="1:14" ht="50.15" customHeight="1" x14ac:dyDescent="0.3">
      <c r="A28" s="39">
        <v>2</v>
      </c>
      <c r="B28" s="76" t="s">
        <v>43</v>
      </c>
      <c r="C28" s="76"/>
      <c r="D28" s="76"/>
      <c r="E28" s="76"/>
      <c r="F28" s="76"/>
      <c r="G28" s="87">
        <v>4</v>
      </c>
      <c r="H28" s="88"/>
      <c r="I28" s="91"/>
      <c r="J28" s="92"/>
      <c r="K28" s="91"/>
      <c r="L28" s="92"/>
      <c r="M28" s="91"/>
      <c r="N28" s="92"/>
    </row>
    <row r="29" spans="1:14" ht="30" customHeight="1" x14ac:dyDescent="0.3">
      <c r="A29" s="39">
        <v>3</v>
      </c>
      <c r="B29" s="76" t="s">
        <v>44</v>
      </c>
      <c r="C29" s="76"/>
      <c r="D29" s="76"/>
      <c r="E29" s="76"/>
      <c r="F29" s="76"/>
      <c r="G29" s="87">
        <v>3</v>
      </c>
      <c r="H29" s="88"/>
      <c r="I29" s="91"/>
      <c r="J29" s="92"/>
      <c r="K29" s="91"/>
      <c r="L29" s="92"/>
      <c r="M29" s="91"/>
      <c r="N29" s="92"/>
    </row>
    <row r="30" spans="1:14" ht="30" customHeight="1" x14ac:dyDescent="0.3">
      <c r="A30" s="39">
        <v>4</v>
      </c>
      <c r="B30" s="76" t="s">
        <v>78</v>
      </c>
      <c r="C30" s="76"/>
      <c r="D30" s="76"/>
      <c r="E30" s="76"/>
      <c r="F30" s="76"/>
      <c r="G30" s="87">
        <v>2</v>
      </c>
      <c r="H30" s="88"/>
      <c r="I30" s="93"/>
      <c r="J30" s="94"/>
      <c r="K30" s="93"/>
      <c r="L30" s="94"/>
      <c r="M30" s="93"/>
      <c r="N30" s="94"/>
    </row>
    <row r="31" spans="1:14" x14ac:dyDescent="0.3">
      <c r="A31" s="20" t="s">
        <v>45</v>
      </c>
      <c r="D31" s="13"/>
      <c r="E31" s="13"/>
      <c r="F31" s="13"/>
      <c r="G31" s="30"/>
      <c r="H31" s="30"/>
      <c r="I31" s="18"/>
      <c r="J31" s="18"/>
      <c r="K31" s="18"/>
      <c r="L31" s="18"/>
      <c r="M31" s="18"/>
      <c r="N31" s="19"/>
    </row>
    <row r="32" spans="1:14" ht="15" customHeight="1" x14ac:dyDescent="0.3">
      <c r="A32" s="55">
        <v>1</v>
      </c>
      <c r="B32" s="76" t="s">
        <v>46</v>
      </c>
      <c r="C32" s="76"/>
      <c r="D32" s="76"/>
      <c r="E32" s="76"/>
      <c r="F32" s="76"/>
      <c r="G32" s="87">
        <v>5</v>
      </c>
      <c r="H32" s="88"/>
      <c r="I32" s="89"/>
      <c r="J32" s="90"/>
      <c r="K32" s="89"/>
      <c r="L32" s="90"/>
      <c r="M32" s="89"/>
      <c r="N32" s="90"/>
    </row>
    <row r="33" spans="1:14" ht="15" customHeight="1" x14ac:dyDescent="0.3">
      <c r="A33" s="55">
        <v>2</v>
      </c>
      <c r="B33" s="76" t="s">
        <v>47</v>
      </c>
      <c r="C33" s="76"/>
      <c r="D33" s="76"/>
      <c r="E33" s="76"/>
      <c r="F33" s="76"/>
      <c r="G33" s="87">
        <v>4</v>
      </c>
      <c r="H33" s="88"/>
      <c r="I33" s="91"/>
      <c r="J33" s="92"/>
      <c r="K33" s="91"/>
      <c r="L33" s="92"/>
      <c r="M33" s="91"/>
      <c r="N33" s="92"/>
    </row>
    <row r="34" spans="1:14" ht="15" customHeight="1" x14ac:dyDescent="0.3">
      <c r="A34" s="55">
        <v>3</v>
      </c>
      <c r="B34" s="76" t="s">
        <v>48</v>
      </c>
      <c r="C34" s="76"/>
      <c r="D34" s="76"/>
      <c r="E34" s="76"/>
      <c r="F34" s="76"/>
      <c r="G34" s="87">
        <v>3</v>
      </c>
      <c r="H34" s="88"/>
      <c r="I34" s="91"/>
      <c r="J34" s="92"/>
      <c r="K34" s="91"/>
      <c r="L34" s="92"/>
      <c r="M34" s="91"/>
      <c r="N34" s="92"/>
    </row>
    <row r="35" spans="1:14" ht="15" customHeight="1" x14ac:dyDescent="0.3">
      <c r="A35" s="55">
        <v>4</v>
      </c>
      <c r="B35" s="76" t="s">
        <v>49</v>
      </c>
      <c r="C35" s="76"/>
      <c r="D35" s="76"/>
      <c r="E35" s="76"/>
      <c r="F35" s="76"/>
      <c r="G35" s="87">
        <v>2</v>
      </c>
      <c r="H35" s="88"/>
      <c r="I35" s="93"/>
      <c r="J35" s="94"/>
      <c r="K35" s="93"/>
      <c r="L35" s="94"/>
      <c r="M35" s="93"/>
      <c r="N35" s="94"/>
    </row>
    <row r="36" spans="1:14" x14ac:dyDescent="0.3">
      <c r="A36" s="20" t="s">
        <v>50</v>
      </c>
      <c r="D36" s="13"/>
      <c r="E36" s="13"/>
      <c r="F36" s="13"/>
      <c r="G36" s="30"/>
      <c r="H36" s="30"/>
      <c r="I36" s="18"/>
      <c r="J36" s="18"/>
      <c r="K36" s="18"/>
      <c r="L36" s="18"/>
      <c r="M36" s="18"/>
      <c r="N36" s="19"/>
    </row>
    <row r="37" spans="1:14" ht="30" customHeight="1" x14ac:dyDescent="0.3">
      <c r="A37" s="39">
        <v>1</v>
      </c>
      <c r="B37" s="76" t="s">
        <v>51</v>
      </c>
      <c r="C37" s="76"/>
      <c r="D37" s="76"/>
      <c r="E37" s="76"/>
      <c r="F37" s="76"/>
      <c r="G37" s="87">
        <v>5</v>
      </c>
      <c r="H37" s="88"/>
      <c r="I37" s="89"/>
      <c r="J37" s="90"/>
      <c r="K37" s="89"/>
      <c r="L37" s="90"/>
      <c r="M37" s="89"/>
      <c r="N37" s="90"/>
    </row>
    <row r="38" spans="1:14" ht="15" customHeight="1" x14ac:dyDescent="0.3">
      <c r="A38" s="39">
        <v>2</v>
      </c>
      <c r="B38" s="76" t="s">
        <v>52</v>
      </c>
      <c r="C38" s="76"/>
      <c r="D38" s="76"/>
      <c r="E38" s="76"/>
      <c r="F38" s="76"/>
      <c r="G38" s="87">
        <v>4</v>
      </c>
      <c r="H38" s="88"/>
      <c r="I38" s="91"/>
      <c r="J38" s="92"/>
      <c r="K38" s="91"/>
      <c r="L38" s="92"/>
      <c r="M38" s="91"/>
      <c r="N38" s="92"/>
    </row>
    <row r="39" spans="1:14" ht="30" customHeight="1" x14ac:dyDescent="0.3">
      <c r="A39" s="39">
        <v>3</v>
      </c>
      <c r="B39" s="76" t="s">
        <v>53</v>
      </c>
      <c r="C39" s="76"/>
      <c r="D39" s="76"/>
      <c r="E39" s="76"/>
      <c r="F39" s="76"/>
      <c r="G39" s="87">
        <v>3</v>
      </c>
      <c r="H39" s="88"/>
      <c r="I39" s="91"/>
      <c r="J39" s="92"/>
      <c r="K39" s="91"/>
      <c r="L39" s="92"/>
      <c r="M39" s="91"/>
      <c r="N39" s="92"/>
    </row>
    <row r="40" spans="1:14" ht="30" customHeight="1" x14ac:dyDescent="0.3">
      <c r="A40" s="39">
        <v>4</v>
      </c>
      <c r="B40" s="76" t="s">
        <v>77</v>
      </c>
      <c r="C40" s="76"/>
      <c r="D40" s="76"/>
      <c r="E40" s="76"/>
      <c r="F40" s="76"/>
      <c r="G40" s="87">
        <v>2</v>
      </c>
      <c r="H40" s="88"/>
      <c r="I40" s="93"/>
      <c r="J40" s="94"/>
      <c r="K40" s="93"/>
      <c r="L40" s="94"/>
      <c r="M40" s="93"/>
      <c r="N40" s="94"/>
    </row>
    <row r="41" spans="1:14" x14ac:dyDescent="0.3">
      <c r="A41" s="20" t="s">
        <v>54</v>
      </c>
      <c r="D41" s="13"/>
      <c r="E41" s="13"/>
      <c r="F41" s="13"/>
      <c r="G41" s="30"/>
      <c r="H41" s="30"/>
      <c r="I41" s="18"/>
      <c r="J41" s="18"/>
      <c r="K41" s="18"/>
      <c r="L41" s="18"/>
      <c r="M41" s="18"/>
      <c r="N41" s="19"/>
    </row>
    <row r="42" spans="1:14" ht="30" customHeight="1" x14ac:dyDescent="0.3">
      <c r="A42" s="39">
        <v>1</v>
      </c>
      <c r="B42" s="76" t="s">
        <v>79</v>
      </c>
      <c r="C42" s="76"/>
      <c r="D42" s="76"/>
      <c r="E42" s="76"/>
      <c r="F42" s="76"/>
      <c r="G42" s="87">
        <v>5</v>
      </c>
      <c r="H42" s="88"/>
      <c r="I42" s="89"/>
      <c r="J42" s="90"/>
      <c r="K42" s="89"/>
      <c r="L42" s="90"/>
      <c r="M42" s="89"/>
      <c r="N42" s="90"/>
    </row>
    <row r="43" spans="1:14" ht="15" customHeight="1" x14ac:dyDescent="0.3">
      <c r="A43" s="39">
        <v>2</v>
      </c>
      <c r="B43" s="76" t="s">
        <v>55</v>
      </c>
      <c r="C43" s="76"/>
      <c r="D43" s="76"/>
      <c r="E43" s="76"/>
      <c r="F43" s="76"/>
      <c r="G43" s="87">
        <v>4</v>
      </c>
      <c r="H43" s="88"/>
      <c r="I43" s="91"/>
      <c r="J43" s="92"/>
      <c r="K43" s="91"/>
      <c r="L43" s="92"/>
      <c r="M43" s="91"/>
      <c r="N43" s="92"/>
    </row>
    <row r="44" spans="1:14" ht="30" customHeight="1" x14ac:dyDescent="0.3">
      <c r="A44" s="39">
        <v>3</v>
      </c>
      <c r="B44" s="76" t="s">
        <v>56</v>
      </c>
      <c r="C44" s="76"/>
      <c r="D44" s="76"/>
      <c r="E44" s="76"/>
      <c r="F44" s="76"/>
      <c r="G44" s="87">
        <v>3</v>
      </c>
      <c r="H44" s="88"/>
      <c r="I44" s="91"/>
      <c r="J44" s="92"/>
      <c r="K44" s="91"/>
      <c r="L44" s="92"/>
      <c r="M44" s="91"/>
      <c r="N44" s="92"/>
    </row>
    <row r="45" spans="1:14" ht="30" customHeight="1" x14ac:dyDescent="0.3">
      <c r="A45" s="39">
        <v>4</v>
      </c>
      <c r="B45" s="76" t="s">
        <v>57</v>
      </c>
      <c r="C45" s="76"/>
      <c r="D45" s="76"/>
      <c r="E45" s="76"/>
      <c r="F45" s="76"/>
      <c r="G45" s="87">
        <v>2</v>
      </c>
      <c r="H45" s="88"/>
      <c r="I45" s="93"/>
      <c r="J45" s="94"/>
      <c r="K45" s="93"/>
      <c r="L45" s="94"/>
      <c r="M45" s="93"/>
      <c r="N45" s="94"/>
    </row>
    <row r="46" spans="1:14" x14ac:dyDescent="0.3">
      <c r="A46" s="20" t="s">
        <v>58</v>
      </c>
      <c r="D46" s="13"/>
      <c r="E46" s="13"/>
      <c r="F46" s="13"/>
      <c r="G46" s="30"/>
      <c r="H46" s="30"/>
      <c r="I46" s="18"/>
      <c r="J46" s="18"/>
      <c r="K46" s="18"/>
      <c r="L46" s="18"/>
      <c r="M46" s="18"/>
      <c r="N46" s="19"/>
    </row>
    <row r="47" spans="1:14" ht="45" customHeight="1" x14ac:dyDescent="0.3">
      <c r="A47" s="39">
        <v>1</v>
      </c>
      <c r="B47" s="76" t="s">
        <v>59</v>
      </c>
      <c r="C47" s="76"/>
      <c r="D47" s="76"/>
      <c r="E47" s="76"/>
      <c r="F47" s="76"/>
      <c r="G47" s="97" t="s">
        <v>86</v>
      </c>
      <c r="H47" s="98"/>
      <c r="I47" s="89"/>
      <c r="J47" s="90"/>
      <c r="K47" s="89"/>
      <c r="L47" s="90"/>
      <c r="M47" s="89"/>
      <c r="N47" s="90"/>
    </row>
    <row r="48" spans="1:14" ht="30" customHeight="1" x14ac:dyDescent="0.3">
      <c r="A48" s="39">
        <v>2</v>
      </c>
      <c r="B48" s="76" t="s">
        <v>60</v>
      </c>
      <c r="C48" s="76"/>
      <c r="D48" s="76"/>
      <c r="E48" s="76"/>
      <c r="F48" s="76"/>
      <c r="G48" s="95" t="s">
        <v>87</v>
      </c>
      <c r="H48" s="96"/>
      <c r="I48" s="91"/>
      <c r="J48" s="92"/>
      <c r="K48" s="91"/>
      <c r="L48" s="92"/>
      <c r="M48" s="91"/>
      <c r="N48" s="92"/>
    </row>
    <row r="49" spans="1:14" ht="30" customHeight="1" x14ac:dyDescent="0.3">
      <c r="A49" s="39">
        <v>3</v>
      </c>
      <c r="B49" s="76" t="s">
        <v>61</v>
      </c>
      <c r="C49" s="76"/>
      <c r="D49" s="76"/>
      <c r="E49" s="76"/>
      <c r="F49" s="76"/>
      <c r="G49" s="95" t="s">
        <v>88</v>
      </c>
      <c r="H49" s="96"/>
      <c r="I49" s="91"/>
      <c r="J49" s="92"/>
      <c r="K49" s="91"/>
      <c r="L49" s="92"/>
      <c r="M49" s="91"/>
      <c r="N49" s="92"/>
    </row>
    <row r="50" spans="1:14" ht="15" customHeight="1" x14ac:dyDescent="0.3">
      <c r="A50" s="39">
        <v>4</v>
      </c>
      <c r="B50" s="76" t="s">
        <v>62</v>
      </c>
      <c r="C50" s="76"/>
      <c r="D50" s="76"/>
      <c r="E50" s="76"/>
      <c r="F50" s="76"/>
      <c r="G50" s="95" t="s">
        <v>89</v>
      </c>
      <c r="H50" s="96"/>
      <c r="I50" s="93"/>
      <c r="J50" s="94"/>
      <c r="K50" s="93"/>
      <c r="L50" s="94"/>
      <c r="M50" s="93"/>
      <c r="N50" s="94"/>
    </row>
    <row r="51" spans="1:14" x14ac:dyDescent="0.3">
      <c r="A51" s="20" t="s">
        <v>63</v>
      </c>
      <c r="D51" s="13"/>
      <c r="E51" s="13"/>
      <c r="F51" s="13"/>
      <c r="G51" s="30"/>
      <c r="H51" s="30"/>
      <c r="I51" s="18"/>
      <c r="J51" s="18"/>
      <c r="K51" s="18"/>
      <c r="L51" s="18"/>
      <c r="M51" s="18"/>
      <c r="N51" s="19"/>
    </row>
    <row r="52" spans="1:14" ht="45" customHeight="1" x14ac:dyDescent="0.3">
      <c r="A52" s="39">
        <v>1</v>
      </c>
      <c r="B52" s="76" t="s">
        <v>64</v>
      </c>
      <c r="C52" s="76"/>
      <c r="D52" s="76"/>
      <c r="E52" s="76"/>
      <c r="F52" s="76"/>
      <c r="G52" s="109" t="s">
        <v>98</v>
      </c>
      <c r="H52" s="88"/>
      <c r="I52" s="89"/>
      <c r="J52" s="90"/>
      <c r="K52" s="89"/>
      <c r="L52" s="90"/>
      <c r="M52" s="89"/>
      <c r="N52" s="90"/>
    </row>
    <row r="53" spans="1:14" ht="30" customHeight="1" x14ac:dyDescent="0.3">
      <c r="A53" s="39">
        <v>2</v>
      </c>
      <c r="B53" s="76" t="s">
        <v>65</v>
      </c>
      <c r="C53" s="76"/>
      <c r="D53" s="76"/>
      <c r="E53" s="76"/>
      <c r="F53" s="76"/>
      <c r="G53" s="105" t="s">
        <v>97</v>
      </c>
      <c r="H53" s="88"/>
      <c r="I53" s="91"/>
      <c r="J53" s="92"/>
      <c r="K53" s="91"/>
      <c r="L53" s="92"/>
      <c r="M53" s="91"/>
      <c r="N53" s="92"/>
    </row>
    <row r="54" spans="1:14" ht="30" customHeight="1" x14ac:dyDescent="0.3">
      <c r="A54" s="39">
        <v>3</v>
      </c>
      <c r="B54" s="76" t="s">
        <v>66</v>
      </c>
      <c r="C54" s="76"/>
      <c r="D54" s="76"/>
      <c r="E54" s="76"/>
      <c r="F54" s="76"/>
      <c r="G54" s="105" t="s">
        <v>96</v>
      </c>
      <c r="H54" s="88"/>
      <c r="I54" s="91"/>
      <c r="J54" s="92"/>
      <c r="K54" s="91"/>
      <c r="L54" s="92"/>
      <c r="M54" s="91"/>
      <c r="N54" s="92"/>
    </row>
    <row r="55" spans="1:14" ht="15" customHeight="1" x14ac:dyDescent="0.3">
      <c r="A55" s="39">
        <v>4</v>
      </c>
      <c r="B55" s="76" t="s">
        <v>67</v>
      </c>
      <c r="C55" s="76"/>
      <c r="D55" s="76"/>
      <c r="E55" s="76"/>
      <c r="F55" s="76"/>
      <c r="G55" s="105" t="s">
        <v>95</v>
      </c>
      <c r="H55" s="88"/>
      <c r="I55" s="93"/>
      <c r="J55" s="94"/>
      <c r="K55" s="93"/>
      <c r="L55" s="94"/>
      <c r="M55" s="93"/>
      <c r="N55" s="94"/>
    </row>
    <row r="56" spans="1:14" x14ac:dyDescent="0.3">
      <c r="A56" s="20" t="s">
        <v>68</v>
      </c>
      <c r="D56" s="13"/>
      <c r="E56" s="13"/>
      <c r="F56" s="13"/>
      <c r="G56" s="30"/>
      <c r="H56" s="30"/>
      <c r="I56" s="18"/>
      <c r="J56" s="18"/>
      <c r="K56" s="18"/>
      <c r="L56" s="18"/>
      <c r="M56" s="18"/>
      <c r="N56" s="19"/>
    </row>
    <row r="57" spans="1:14" ht="30" customHeight="1" x14ac:dyDescent="0.3">
      <c r="A57" s="39">
        <v>1</v>
      </c>
      <c r="B57" s="134" t="s">
        <v>69</v>
      </c>
      <c r="C57" s="135"/>
      <c r="D57" s="135"/>
      <c r="E57" s="135"/>
      <c r="F57" s="136"/>
      <c r="G57" s="109" t="s">
        <v>91</v>
      </c>
      <c r="H57" s="88"/>
      <c r="I57" s="89"/>
      <c r="J57" s="90"/>
      <c r="K57" s="89"/>
      <c r="L57" s="90"/>
      <c r="M57" s="89"/>
      <c r="N57" s="90"/>
    </row>
    <row r="58" spans="1:14" ht="15" customHeight="1" x14ac:dyDescent="0.3">
      <c r="A58" s="39">
        <v>2</v>
      </c>
      <c r="B58" s="134" t="s">
        <v>70</v>
      </c>
      <c r="C58" s="135"/>
      <c r="D58" s="135"/>
      <c r="E58" s="135"/>
      <c r="F58" s="136"/>
      <c r="G58" s="105" t="s">
        <v>92</v>
      </c>
      <c r="H58" s="88"/>
      <c r="I58" s="91"/>
      <c r="J58" s="92"/>
      <c r="K58" s="91"/>
      <c r="L58" s="92"/>
      <c r="M58" s="91"/>
      <c r="N58" s="92"/>
    </row>
    <row r="59" spans="1:14" ht="15" customHeight="1" x14ac:dyDescent="0.3">
      <c r="A59" s="39">
        <v>3</v>
      </c>
      <c r="B59" s="134" t="s">
        <v>71</v>
      </c>
      <c r="C59" s="135"/>
      <c r="D59" s="135"/>
      <c r="E59" s="135"/>
      <c r="F59" s="136"/>
      <c r="G59" s="105" t="s">
        <v>93</v>
      </c>
      <c r="H59" s="88"/>
      <c r="I59" s="91"/>
      <c r="J59" s="92"/>
      <c r="K59" s="91"/>
      <c r="L59" s="92"/>
      <c r="M59" s="91"/>
      <c r="N59" s="92"/>
    </row>
    <row r="60" spans="1:14" ht="30" customHeight="1" x14ac:dyDescent="0.3">
      <c r="A60" s="39">
        <v>4</v>
      </c>
      <c r="B60" s="134" t="s">
        <v>72</v>
      </c>
      <c r="C60" s="135"/>
      <c r="D60" s="135"/>
      <c r="E60" s="135"/>
      <c r="F60" s="136"/>
      <c r="G60" s="105" t="s">
        <v>94</v>
      </c>
      <c r="H60" s="88"/>
      <c r="I60" s="91"/>
      <c r="J60" s="92"/>
      <c r="K60" s="91"/>
      <c r="L60" s="92"/>
      <c r="M60" s="91"/>
      <c r="N60" s="92"/>
    </row>
    <row r="61" spans="1:14" ht="15" customHeight="1" x14ac:dyDescent="0.3">
      <c r="A61" s="39">
        <v>5</v>
      </c>
      <c r="B61" s="134" t="s">
        <v>73</v>
      </c>
      <c r="C61" s="135"/>
      <c r="D61" s="135"/>
      <c r="E61" s="135"/>
      <c r="F61" s="136"/>
      <c r="G61" s="105" t="s">
        <v>90</v>
      </c>
      <c r="H61" s="88"/>
      <c r="I61" s="93"/>
      <c r="J61" s="94"/>
      <c r="K61" s="93"/>
      <c r="L61" s="94"/>
      <c r="M61" s="93"/>
      <c r="N61" s="94"/>
    </row>
    <row r="62" spans="1:14" x14ac:dyDescent="0.3">
      <c r="A62" s="21" t="s">
        <v>133</v>
      </c>
      <c r="D62" s="13"/>
      <c r="E62" s="13"/>
      <c r="F62" s="13"/>
      <c r="G62" s="32"/>
      <c r="H62" s="32"/>
      <c r="N62" s="22"/>
    </row>
    <row r="63" spans="1:14" s="36" customFormat="1" ht="30" customHeight="1" x14ac:dyDescent="0.3">
      <c r="A63" s="56">
        <v>1</v>
      </c>
      <c r="B63" s="137" t="s">
        <v>74</v>
      </c>
      <c r="C63" s="138"/>
      <c r="D63" s="138"/>
      <c r="E63" s="138"/>
      <c r="F63" s="139"/>
      <c r="G63" s="106" t="s">
        <v>99</v>
      </c>
      <c r="H63" s="88"/>
      <c r="I63" s="107"/>
      <c r="J63" s="108"/>
      <c r="K63" s="107"/>
      <c r="L63" s="108"/>
      <c r="M63" s="107"/>
      <c r="N63" s="108"/>
    </row>
    <row r="64" spans="1:14" s="36" customFormat="1" ht="5.25" customHeight="1" x14ac:dyDescent="0.3">
      <c r="A64" s="63"/>
      <c r="B64" s="60"/>
      <c r="C64" s="60"/>
      <c r="D64" s="60"/>
      <c r="E64" s="60"/>
      <c r="F64" s="60"/>
      <c r="G64" s="62"/>
      <c r="H64" s="63"/>
      <c r="I64" s="61"/>
      <c r="J64" s="61"/>
      <c r="K64" s="61"/>
      <c r="L64" s="61"/>
      <c r="M64" s="61"/>
      <c r="N64" s="61"/>
    </row>
    <row r="65" spans="1:14" s="36" customFormat="1" ht="15" customHeight="1" x14ac:dyDescent="0.3">
      <c r="A65" s="164" t="s">
        <v>134</v>
      </c>
      <c r="B65" s="165"/>
      <c r="C65" s="165"/>
      <c r="D65" s="165"/>
      <c r="E65" s="165"/>
      <c r="F65" s="165"/>
      <c r="G65" s="165"/>
      <c r="H65" s="166"/>
      <c r="I65" s="159"/>
      <c r="J65" s="159"/>
      <c r="K65" s="159"/>
      <c r="L65" s="159"/>
      <c r="M65" s="159"/>
      <c r="N65" s="159"/>
    </row>
    <row r="66" spans="1:14" x14ac:dyDescent="0.3">
      <c r="A66" s="113" t="s">
        <v>135</v>
      </c>
      <c r="B66" s="114"/>
      <c r="C66" s="114"/>
      <c r="D66" s="114"/>
      <c r="E66" s="114"/>
      <c r="F66" s="114"/>
      <c r="G66" s="114"/>
      <c r="H66" s="114"/>
      <c r="I66" s="114"/>
      <c r="J66" s="108"/>
      <c r="K66" s="167"/>
      <c r="L66" s="168"/>
      <c r="M66" s="168"/>
      <c r="N66" s="169"/>
    </row>
    <row r="67" spans="1:14" x14ac:dyDescent="0.3">
      <c r="A67" s="59" t="s">
        <v>20</v>
      </c>
      <c r="B67" s="59"/>
      <c r="C67" s="59"/>
      <c r="D67" s="59"/>
      <c r="E67" s="59"/>
      <c r="F67" s="59"/>
      <c r="G67" s="59"/>
      <c r="H67" s="59"/>
      <c r="I67" s="59"/>
      <c r="J67" s="59"/>
      <c r="K67" s="59"/>
      <c r="L67" s="59"/>
      <c r="M67" s="59"/>
      <c r="N67" s="59"/>
    </row>
    <row r="68" spans="1:14" customFormat="1" ht="3.75" customHeight="1" x14ac:dyDescent="0.35">
      <c r="G68" s="149"/>
      <c r="H68" s="149"/>
      <c r="I68" s="149"/>
      <c r="J68" s="149"/>
      <c r="K68" s="149"/>
      <c r="L68" s="149"/>
      <c r="M68" s="149"/>
      <c r="N68" s="149"/>
    </row>
    <row r="69" spans="1:14" customFormat="1" ht="15" customHeight="1" x14ac:dyDescent="0.35">
      <c r="A69" s="161" t="s">
        <v>112</v>
      </c>
      <c r="B69" s="161"/>
      <c r="C69" s="140" t="s">
        <v>128</v>
      </c>
      <c r="D69" s="140" t="s">
        <v>113</v>
      </c>
      <c r="E69" s="140" t="s">
        <v>114</v>
      </c>
      <c r="G69" s="161" t="s">
        <v>112</v>
      </c>
      <c r="H69" s="161"/>
      <c r="I69" s="140" t="s">
        <v>132</v>
      </c>
      <c r="J69" s="140"/>
      <c r="K69" s="140"/>
      <c r="L69" s="140"/>
      <c r="M69" s="140" t="s">
        <v>115</v>
      </c>
      <c r="N69" s="140"/>
    </row>
    <row r="70" spans="1:14" customFormat="1" ht="14.5" x14ac:dyDescent="0.35">
      <c r="A70" s="161"/>
      <c r="B70" s="161"/>
      <c r="C70" s="140"/>
      <c r="D70" s="140"/>
      <c r="E70" s="140"/>
      <c r="F70" s="44"/>
      <c r="G70" s="161"/>
      <c r="H70" s="161"/>
      <c r="I70" s="140"/>
      <c r="J70" s="140"/>
      <c r="K70" s="140"/>
      <c r="L70" s="140"/>
      <c r="M70" s="140"/>
      <c r="N70" s="140"/>
    </row>
    <row r="71" spans="1:14" customFormat="1" ht="20.25" customHeight="1" x14ac:dyDescent="0.35">
      <c r="A71" s="141" t="s">
        <v>116</v>
      </c>
      <c r="B71" s="141"/>
      <c r="C71" s="45"/>
      <c r="D71" s="46">
        <f>SUM(C71*100%)*5</f>
        <v>0</v>
      </c>
      <c r="E71" s="47">
        <f>SUM(D71:D73)</f>
        <v>0</v>
      </c>
      <c r="F71" s="42"/>
      <c r="G71" s="141" t="s">
        <v>116</v>
      </c>
      <c r="H71" s="141"/>
      <c r="I71" s="143" t="s">
        <v>117</v>
      </c>
      <c r="J71" s="143"/>
      <c r="K71" s="143"/>
      <c r="L71" s="143"/>
      <c r="M71" s="148">
        <v>5</v>
      </c>
      <c r="N71" s="148"/>
    </row>
    <row r="72" spans="1:14" customFormat="1" ht="20.25" customHeight="1" x14ac:dyDescent="0.35">
      <c r="A72" s="160" t="s">
        <v>118</v>
      </c>
      <c r="B72" s="160"/>
      <c r="C72" s="48"/>
      <c r="D72" s="49">
        <f>SUM(C72*50%)*5</f>
        <v>0</v>
      </c>
      <c r="E72" s="47"/>
      <c r="F72" s="42"/>
      <c r="G72" s="160" t="s">
        <v>118</v>
      </c>
      <c r="H72" s="160"/>
      <c r="I72" s="143" t="s">
        <v>119</v>
      </c>
      <c r="J72" s="143"/>
      <c r="K72" s="143"/>
      <c r="L72" s="143"/>
      <c r="M72" s="148">
        <v>5</v>
      </c>
      <c r="N72" s="148"/>
    </row>
    <row r="73" spans="1:14" customFormat="1" ht="20.25" customHeight="1" x14ac:dyDescent="0.35">
      <c r="A73" s="160" t="s">
        <v>120</v>
      </c>
      <c r="B73" s="160"/>
      <c r="C73" s="48"/>
      <c r="D73" s="49">
        <f>SUM(C73*25%)*5</f>
        <v>0</v>
      </c>
      <c r="E73" s="47"/>
      <c r="F73" s="42"/>
      <c r="G73" s="160" t="s">
        <v>120</v>
      </c>
      <c r="H73" s="160"/>
      <c r="I73" s="143" t="s">
        <v>121</v>
      </c>
      <c r="J73" s="143"/>
      <c r="K73" s="143"/>
      <c r="L73" s="143"/>
      <c r="M73" s="148">
        <v>5</v>
      </c>
      <c r="N73" s="148"/>
    </row>
    <row r="74" spans="1:14" customFormat="1" ht="20.25" customHeight="1" x14ac:dyDescent="0.35">
      <c r="A74" s="162" t="s">
        <v>129</v>
      </c>
      <c r="B74" s="162"/>
      <c r="C74" s="48"/>
      <c r="D74" s="50">
        <f>SUM(C74*6.6%)*5</f>
        <v>0</v>
      </c>
      <c r="E74" s="51">
        <f>SUM(D74:D76)</f>
        <v>0</v>
      </c>
      <c r="F74" s="42"/>
      <c r="G74" s="162" t="s">
        <v>129</v>
      </c>
      <c r="H74" s="162"/>
      <c r="I74" s="143" t="s">
        <v>122</v>
      </c>
      <c r="J74" s="143"/>
      <c r="K74" s="143"/>
      <c r="L74" s="143"/>
      <c r="M74" s="148">
        <v>5</v>
      </c>
      <c r="N74" s="148"/>
    </row>
    <row r="75" spans="1:14" customFormat="1" ht="20.25" customHeight="1" x14ac:dyDescent="0.35">
      <c r="A75" s="162" t="s">
        <v>130</v>
      </c>
      <c r="B75" s="162"/>
      <c r="C75" s="48"/>
      <c r="D75" s="50">
        <f>SUM(C75*10%)*5</f>
        <v>0</v>
      </c>
      <c r="E75" s="52"/>
      <c r="F75" s="42"/>
      <c r="G75" s="162" t="s">
        <v>130</v>
      </c>
      <c r="H75" s="162"/>
      <c r="I75" s="143" t="s">
        <v>123</v>
      </c>
      <c r="J75" s="143"/>
      <c r="K75" s="143"/>
      <c r="L75" s="143"/>
      <c r="M75" s="148">
        <v>5</v>
      </c>
      <c r="N75" s="148"/>
    </row>
    <row r="76" spans="1:14" customFormat="1" ht="20.25" customHeight="1" x14ac:dyDescent="0.35">
      <c r="A76" s="163" t="s">
        <v>131</v>
      </c>
      <c r="B76" s="163"/>
      <c r="C76" s="48"/>
      <c r="D76" s="50">
        <f>SUM(C76*20%)*5</f>
        <v>0</v>
      </c>
      <c r="E76" s="53"/>
      <c r="F76" s="42"/>
      <c r="G76" s="163" t="s">
        <v>131</v>
      </c>
      <c r="H76" s="163"/>
      <c r="I76" s="143" t="s">
        <v>124</v>
      </c>
      <c r="J76" s="143"/>
      <c r="K76" s="143"/>
      <c r="L76" s="143"/>
      <c r="M76" s="148">
        <v>5</v>
      </c>
      <c r="N76" s="148"/>
    </row>
    <row r="77" spans="1:14" customFormat="1" ht="20.25" customHeight="1" x14ac:dyDescent="0.35">
      <c r="A77" s="160" t="s">
        <v>125</v>
      </c>
      <c r="B77" s="160"/>
      <c r="C77" s="54"/>
      <c r="D77" s="50"/>
      <c r="E77" s="52">
        <f>SUM(D77:D79)</f>
        <v>0</v>
      </c>
      <c r="F77" s="42"/>
      <c r="G77" s="160" t="s">
        <v>125</v>
      </c>
      <c r="H77" s="160"/>
      <c r="I77" s="142"/>
      <c r="J77" s="142"/>
      <c r="K77" s="142"/>
      <c r="L77" s="142"/>
      <c r="M77" s="148">
        <v>10</v>
      </c>
      <c r="N77" s="148"/>
    </row>
    <row r="78" spans="1:14" customFormat="1" ht="20.25" customHeight="1" x14ac:dyDescent="0.35">
      <c r="A78" s="160" t="s">
        <v>126</v>
      </c>
      <c r="B78" s="160"/>
      <c r="C78" s="54"/>
      <c r="D78" s="50"/>
      <c r="E78" s="52"/>
      <c r="F78" s="42"/>
      <c r="G78" s="160" t="s">
        <v>126</v>
      </c>
      <c r="H78" s="160"/>
      <c r="I78" s="142"/>
      <c r="J78" s="142"/>
      <c r="K78" s="142"/>
      <c r="L78" s="142"/>
      <c r="M78" s="148">
        <v>15</v>
      </c>
      <c r="N78" s="148"/>
    </row>
    <row r="79" spans="1:14" customFormat="1" ht="20.25" customHeight="1" x14ac:dyDescent="0.35">
      <c r="A79" s="160" t="s">
        <v>127</v>
      </c>
      <c r="B79" s="160"/>
      <c r="C79" s="54"/>
      <c r="D79" s="50"/>
      <c r="E79" s="53"/>
      <c r="F79" s="42"/>
      <c r="G79" s="160" t="s">
        <v>127</v>
      </c>
      <c r="H79" s="160"/>
      <c r="I79" s="142"/>
      <c r="J79" s="142"/>
      <c r="K79" s="142"/>
      <c r="L79" s="142"/>
      <c r="M79" s="148">
        <v>20</v>
      </c>
      <c r="N79" s="148"/>
    </row>
    <row r="80" spans="1:14" customFormat="1" ht="14.5" x14ac:dyDescent="0.35">
      <c r="A80" s="144" t="s">
        <v>114</v>
      </c>
      <c r="B80" s="145"/>
      <c r="C80" s="146"/>
      <c r="D80" s="147"/>
      <c r="E80" s="43">
        <f>SUM(E71:E79)</f>
        <v>0</v>
      </c>
    </row>
    <row r="81" spans="1:14" customFormat="1" ht="14.5" x14ac:dyDescent="0.35">
      <c r="A81" s="57"/>
      <c r="B81" s="5"/>
      <c r="C81" s="5"/>
      <c r="D81" s="5"/>
      <c r="E81" s="58"/>
    </row>
    <row r="82" spans="1:14" x14ac:dyDescent="0.3">
      <c r="A82" s="86" t="s">
        <v>100</v>
      </c>
      <c r="B82" s="86"/>
      <c r="C82" s="86"/>
      <c r="D82" s="86"/>
      <c r="E82" s="86"/>
      <c r="F82" s="86"/>
      <c r="H82" s="86" t="s">
        <v>136</v>
      </c>
      <c r="I82" s="86"/>
      <c r="J82" s="86"/>
      <c r="K82" s="86"/>
      <c r="L82" s="86"/>
      <c r="M82" s="86"/>
      <c r="N82" s="86"/>
    </row>
    <row r="83" spans="1:14" x14ac:dyDescent="0.3">
      <c r="A83" s="86" t="s">
        <v>101</v>
      </c>
      <c r="B83" s="86"/>
      <c r="C83" s="86"/>
      <c r="D83" s="26" t="s">
        <v>102</v>
      </c>
      <c r="E83" s="83" t="s">
        <v>107</v>
      </c>
      <c r="F83" s="85"/>
      <c r="H83" s="83" t="s">
        <v>137</v>
      </c>
      <c r="I83" s="84"/>
      <c r="J83" s="84"/>
      <c r="K83" s="84"/>
      <c r="L83" s="84"/>
      <c r="M83" s="84"/>
      <c r="N83" s="85"/>
    </row>
    <row r="84" spans="1:14" ht="15" customHeight="1" x14ac:dyDescent="0.3">
      <c r="A84" s="17"/>
      <c r="B84" s="41" t="s">
        <v>10</v>
      </c>
      <c r="C84" s="19"/>
      <c r="D84" s="27" t="s">
        <v>103</v>
      </c>
      <c r="E84" s="132" t="s">
        <v>108</v>
      </c>
      <c r="F84" s="133"/>
      <c r="H84" s="150">
        <f>SUM(K66-E80)</f>
        <v>0</v>
      </c>
      <c r="I84" s="151"/>
      <c r="J84" s="151"/>
      <c r="K84" s="151"/>
      <c r="L84" s="151"/>
      <c r="M84" s="151"/>
      <c r="N84" s="152"/>
    </row>
    <row r="85" spans="1:14" ht="15" customHeight="1" x14ac:dyDescent="0.3">
      <c r="A85" s="17"/>
      <c r="B85" s="41" t="s">
        <v>11</v>
      </c>
      <c r="C85" s="19"/>
      <c r="D85" s="27" t="s">
        <v>104</v>
      </c>
      <c r="E85" s="130" t="s">
        <v>109</v>
      </c>
      <c r="F85" s="131"/>
      <c r="H85" s="153"/>
      <c r="I85" s="154"/>
      <c r="J85" s="154"/>
      <c r="K85" s="154"/>
      <c r="L85" s="154"/>
      <c r="M85" s="154"/>
      <c r="N85" s="155"/>
    </row>
    <row r="86" spans="1:14" ht="15" customHeight="1" x14ac:dyDescent="0.3">
      <c r="A86" s="17"/>
      <c r="B86" s="41" t="s">
        <v>12</v>
      </c>
      <c r="C86" s="19"/>
      <c r="D86" s="27" t="s">
        <v>105</v>
      </c>
      <c r="E86" s="128" t="s">
        <v>110</v>
      </c>
      <c r="F86" s="129"/>
      <c r="H86" s="153"/>
      <c r="I86" s="154"/>
      <c r="J86" s="154"/>
      <c r="K86" s="154"/>
      <c r="L86" s="154"/>
      <c r="M86" s="154"/>
      <c r="N86" s="155"/>
    </row>
    <row r="87" spans="1:14" ht="15" customHeight="1" x14ac:dyDescent="0.3">
      <c r="A87" s="17"/>
      <c r="B87" s="41" t="s">
        <v>13</v>
      </c>
      <c r="C87" s="19"/>
      <c r="D87" s="27" t="s">
        <v>106</v>
      </c>
      <c r="E87" s="128" t="s">
        <v>111</v>
      </c>
      <c r="F87" s="129"/>
      <c r="H87" s="156"/>
      <c r="I87" s="157"/>
      <c r="J87" s="157"/>
      <c r="K87" s="157"/>
      <c r="L87" s="157"/>
      <c r="M87" s="157"/>
      <c r="N87" s="158"/>
    </row>
    <row r="88" spans="1:14" x14ac:dyDescent="0.3">
      <c r="A88" s="28"/>
      <c r="C88" s="32"/>
      <c r="D88" s="32"/>
      <c r="E88" s="32"/>
      <c r="N88" s="22"/>
    </row>
    <row r="89" spans="1:14" x14ac:dyDescent="0.3">
      <c r="A89" s="28"/>
      <c r="C89" s="32"/>
      <c r="D89" s="32"/>
      <c r="E89" s="32"/>
      <c r="N89" s="22"/>
    </row>
    <row r="90" spans="1:14" x14ac:dyDescent="0.3">
      <c r="A90" s="77" t="s">
        <v>16</v>
      </c>
      <c r="B90" s="78"/>
      <c r="C90" s="79"/>
      <c r="D90" s="83" t="s">
        <v>17</v>
      </c>
      <c r="E90" s="84"/>
      <c r="F90" s="84"/>
      <c r="G90" s="85"/>
      <c r="H90" s="83" t="s">
        <v>19</v>
      </c>
      <c r="I90" s="84"/>
      <c r="J90" s="84"/>
      <c r="K90" s="84"/>
      <c r="L90" s="84"/>
      <c r="M90" s="84"/>
      <c r="N90" s="85"/>
    </row>
    <row r="91" spans="1:14" x14ac:dyDescent="0.3">
      <c r="A91" s="80"/>
      <c r="B91" s="81"/>
      <c r="C91" s="82"/>
      <c r="D91" s="33" t="s">
        <v>15</v>
      </c>
      <c r="E91" s="33" t="s">
        <v>18</v>
      </c>
      <c r="F91" s="86" t="s">
        <v>14</v>
      </c>
      <c r="G91" s="86"/>
      <c r="H91" s="86" t="s">
        <v>138</v>
      </c>
      <c r="I91" s="86"/>
      <c r="J91" s="86"/>
      <c r="K91" s="86"/>
      <c r="L91" s="86"/>
      <c r="M91" s="86"/>
      <c r="N91" s="86"/>
    </row>
    <row r="92" spans="1:14" x14ac:dyDescent="0.3">
      <c r="A92" s="23"/>
      <c r="B92" s="9"/>
      <c r="C92" s="9"/>
      <c r="D92" s="34"/>
      <c r="E92" s="23"/>
      <c r="F92" s="23"/>
      <c r="G92" s="9"/>
      <c r="H92" s="23"/>
      <c r="I92" s="9"/>
      <c r="J92" s="9"/>
      <c r="K92" s="9"/>
      <c r="L92" s="9"/>
      <c r="M92" s="9"/>
      <c r="N92" s="11"/>
    </row>
    <row r="93" spans="1:14" x14ac:dyDescent="0.3">
      <c r="A93" s="28"/>
      <c r="D93" s="35"/>
      <c r="E93" s="28"/>
      <c r="F93" s="28"/>
      <c r="H93" s="28"/>
      <c r="N93" s="22"/>
    </row>
    <row r="94" spans="1:14" x14ac:dyDescent="0.3">
      <c r="A94" s="29"/>
      <c r="B94" s="24"/>
      <c r="C94" s="24"/>
      <c r="D94" s="31"/>
      <c r="E94" s="29"/>
      <c r="F94" s="29"/>
      <c r="G94" s="24"/>
      <c r="H94" s="29"/>
      <c r="I94" s="24"/>
      <c r="J94" s="24"/>
      <c r="K94" s="24"/>
      <c r="L94" s="24"/>
      <c r="M94" s="24"/>
      <c r="N94" s="25"/>
    </row>
    <row r="95" spans="1:14" x14ac:dyDescent="0.3">
      <c r="A95" s="29" t="s">
        <v>139</v>
      </c>
      <c r="B95" s="24"/>
      <c r="C95" s="24"/>
      <c r="D95" s="29" t="s">
        <v>139</v>
      </c>
      <c r="E95" s="29" t="s">
        <v>139</v>
      </c>
      <c r="F95" s="29" t="s">
        <v>139</v>
      </c>
      <c r="G95" s="24"/>
      <c r="H95" s="29" t="s">
        <v>139</v>
      </c>
      <c r="I95" s="24"/>
      <c r="J95" s="24"/>
      <c r="K95" s="24"/>
      <c r="L95" s="24"/>
      <c r="M95" s="24"/>
      <c r="N95" s="25"/>
    </row>
    <row r="96" spans="1:14" ht="15.5" x14ac:dyDescent="0.35">
      <c r="A96" s="1"/>
    </row>
    <row r="97" spans="1:5" ht="15.5" x14ac:dyDescent="0.3">
      <c r="A97" s="64"/>
      <c r="B97" s="64"/>
      <c r="C97" s="64"/>
      <c r="D97" s="64"/>
      <c r="E97" s="2"/>
    </row>
    <row r="99" spans="1:5" ht="15.5" x14ac:dyDescent="0.35">
      <c r="A99" s="1" t="s">
        <v>142</v>
      </c>
    </row>
    <row r="100" spans="1:5" ht="15.5" x14ac:dyDescent="0.3">
      <c r="A100" s="64" t="s">
        <v>27</v>
      </c>
      <c r="B100" s="64"/>
      <c r="C100" s="64"/>
      <c r="D100" s="64"/>
      <c r="E100" s="2"/>
    </row>
  </sheetData>
  <mergeCells count="192">
    <mergeCell ref="M17:N20"/>
    <mergeCell ref="K17:L20"/>
    <mergeCell ref="I17:J20"/>
    <mergeCell ref="I22:J25"/>
    <mergeCell ref="K22:L25"/>
    <mergeCell ref="M22:N25"/>
    <mergeCell ref="A65:H65"/>
    <mergeCell ref="K66:N66"/>
    <mergeCell ref="A66:J66"/>
    <mergeCell ref="B57:F57"/>
    <mergeCell ref="B43:F43"/>
    <mergeCell ref="B42:F42"/>
    <mergeCell ref="B50:F50"/>
    <mergeCell ref="B49:F49"/>
    <mergeCell ref="B48:F48"/>
    <mergeCell ref="B47:F47"/>
    <mergeCell ref="B29:F29"/>
    <mergeCell ref="B28:F28"/>
    <mergeCell ref="B27:F27"/>
    <mergeCell ref="B35:F35"/>
    <mergeCell ref="B34:F34"/>
    <mergeCell ref="B33:F33"/>
    <mergeCell ref="B32:F32"/>
    <mergeCell ref="B20:F20"/>
    <mergeCell ref="H83:N83"/>
    <mergeCell ref="H84:N87"/>
    <mergeCell ref="I65:J65"/>
    <mergeCell ref="K65:L65"/>
    <mergeCell ref="M65:N65"/>
    <mergeCell ref="G77:H77"/>
    <mergeCell ref="G78:H78"/>
    <mergeCell ref="G79:H79"/>
    <mergeCell ref="A79:B79"/>
    <mergeCell ref="A78:B78"/>
    <mergeCell ref="A77:B77"/>
    <mergeCell ref="G69:H70"/>
    <mergeCell ref="G71:H71"/>
    <mergeCell ref="G72:H72"/>
    <mergeCell ref="G73:H73"/>
    <mergeCell ref="G74:H74"/>
    <mergeCell ref="G75:H75"/>
    <mergeCell ref="G76:H76"/>
    <mergeCell ref="A72:B72"/>
    <mergeCell ref="A73:B73"/>
    <mergeCell ref="A69:B70"/>
    <mergeCell ref="A76:B76"/>
    <mergeCell ref="A75:B75"/>
    <mergeCell ref="A74:B74"/>
    <mergeCell ref="I73:L73"/>
    <mergeCell ref="I72:L72"/>
    <mergeCell ref="I71:L71"/>
    <mergeCell ref="G68:N68"/>
    <mergeCell ref="I69:L70"/>
    <mergeCell ref="M69:N70"/>
    <mergeCell ref="M73:N73"/>
    <mergeCell ref="M72:N72"/>
    <mergeCell ref="M71:N71"/>
    <mergeCell ref="I79:L79"/>
    <mergeCell ref="I78:L78"/>
    <mergeCell ref="I77:L77"/>
    <mergeCell ref="I76:L76"/>
    <mergeCell ref="I75:L75"/>
    <mergeCell ref="I74:L74"/>
    <mergeCell ref="A80:D80"/>
    <mergeCell ref="M79:N79"/>
    <mergeCell ref="M78:N78"/>
    <mergeCell ref="M77:N77"/>
    <mergeCell ref="M76:N76"/>
    <mergeCell ref="M75:N75"/>
    <mergeCell ref="M74:N74"/>
    <mergeCell ref="E83:F83"/>
    <mergeCell ref="E87:F87"/>
    <mergeCell ref="E86:F86"/>
    <mergeCell ref="E85:F85"/>
    <mergeCell ref="E84:F84"/>
    <mergeCell ref="B61:F61"/>
    <mergeCell ref="B60:F60"/>
    <mergeCell ref="B59:F59"/>
    <mergeCell ref="B58:F58"/>
    <mergeCell ref="B63:F63"/>
    <mergeCell ref="E69:E70"/>
    <mergeCell ref="D69:D70"/>
    <mergeCell ref="C69:C70"/>
    <mergeCell ref="A71:B71"/>
    <mergeCell ref="B19:F19"/>
    <mergeCell ref="B18:F18"/>
    <mergeCell ref="B17:F17"/>
    <mergeCell ref="B25:F25"/>
    <mergeCell ref="B24:F24"/>
    <mergeCell ref="B23:F23"/>
    <mergeCell ref="B22:F22"/>
    <mergeCell ref="G9:N9"/>
    <mergeCell ref="G11:N11"/>
    <mergeCell ref="G10:N10"/>
    <mergeCell ref="G22:H22"/>
    <mergeCell ref="G23:H23"/>
    <mergeCell ref="G14:N14"/>
    <mergeCell ref="G20:H20"/>
    <mergeCell ref="G19:H19"/>
    <mergeCell ref="G18:H18"/>
    <mergeCell ref="G17:H17"/>
    <mergeCell ref="K15:L15"/>
    <mergeCell ref="M15:N15"/>
    <mergeCell ref="A13:C15"/>
    <mergeCell ref="D13:F15"/>
    <mergeCell ref="G13:N13"/>
    <mergeCell ref="G15:H15"/>
    <mergeCell ref="I15:J15"/>
    <mergeCell ref="D3:E5"/>
    <mergeCell ref="D2:E2"/>
    <mergeCell ref="G5:N5"/>
    <mergeCell ref="G4:N4"/>
    <mergeCell ref="G3:N3"/>
    <mergeCell ref="G2:N2"/>
    <mergeCell ref="G61:H61"/>
    <mergeCell ref="G63:H63"/>
    <mergeCell ref="I63:J63"/>
    <mergeCell ref="K63:L63"/>
    <mergeCell ref="M63:N63"/>
    <mergeCell ref="M57:N61"/>
    <mergeCell ref="K57:L61"/>
    <mergeCell ref="G59:H59"/>
    <mergeCell ref="G60:H60"/>
    <mergeCell ref="I57:J61"/>
    <mergeCell ref="G57:H57"/>
    <mergeCell ref="G58:H58"/>
    <mergeCell ref="G54:H54"/>
    <mergeCell ref="G55:H55"/>
    <mergeCell ref="I52:J55"/>
    <mergeCell ref="K52:L55"/>
    <mergeCell ref="G52:H52"/>
    <mergeCell ref="G53:H53"/>
    <mergeCell ref="M52:N55"/>
    <mergeCell ref="G49:H49"/>
    <mergeCell ref="G50:H50"/>
    <mergeCell ref="I47:J50"/>
    <mergeCell ref="K47:L50"/>
    <mergeCell ref="G47:H47"/>
    <mergeCell ref="G48:H48"/>
    <mergeCell ref="M47:N50"/>
    <mergeCell ref="G44:H44"/>
    <mergeCell ref="G45:H45"/>
    <mergeCell ref="I42:J45"/>
    <mergeCell ref="K42:L45"/>
    <mergeCell ref="G42:H42"/>
    <mergeCell ref="G43:H43"/>
    <mergeCell ref="M42:N45"/>
    <mergeCell ref="I27:J30"/>
    <mergeCell ref="K27:L30"/>
    <mergeCell ref="G27:H27"/>
    <mergeCell ref="G28:H28"/>
    <mergeCell ref="M27:N30"/>
    <mergeCell ref="G24:H24"/>
    <mergeCell ref="G25:H25"/>
    <mergeCell ref="G39:H39"/>
    <mergeCell ref="G40:H40"/>
    <mergeCell ref="I37:J40"/>
    <mergeCell ref="K37:L40"/>
    <mergeCell ref="G37:H37"/>
    <mergeCell ref="G38:H38"/>
    <mergeCell ref="M37:N40"/>
    <mergeCell ref="G34:H34"/>
    <mergeCell ref="G35:H35"/>
    <mergeCell ref="I32:J35"/>
    <mergeCell ref="K32:L35"/>
    <mergeCell ref="G32:H32"/>
    <mergeCell ref="G33:H33"/>
    <mergeCell ref="M32:N35"/>
    <mergeCell ref="A2:C5"/>
    <mergeCell ref="B30:F30"/>
    <mergeCell ref="B37:F37"/>
    <mergeCell ref="A97:D97"/>
    <mergeCell ref="A100:D100"/>
    <mergeCell ref="A90:C91"/>
    <mergeCell ref="D90:G90"/>
    <mergeCell ref="H90:N90"/>
    <mergeCell ref="F91:G91"/>
    <mergeCell ref="H91:N91"/>
    <mergeCell ref="A82:F82"/>
    <mergeCell ref="H82:N82"/>
    <mergeCell ref="A83:C83"/>
    <mergeCell ref="B55:F55"/>
    <mergeCell ref="B54:F54"/>
    <mergeCell ref="B53:F53"/>
    <mergeCell ref="B45:F45"/>
    <mergeCell ref="B52:F52"/>
    <mergeCell ref="B40:F40"/>
    <mergeCell ref="B39:F39"/>
    <mergeCell ref="B38:F38"/>
    <mergeCell ref="B44:F44"/>
    <mergeCell ref="G29:H29"/>
    <mergeCell ref="G30:H30"/>
  </mergeCells>
  <printOptions horizontalCentered="1"/>
  <pageMargins left="0" right="0" top="0.35433070866141736" bottom="0.31496062992125984" header="0.35433070866141736" footer="0.31496062992125984"/>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OK</vt:lpstr>
      <vt:lpstr>OK!Print_Area</vt:lpstr>
      <vt:lpstr>OK!Print_Titles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Anang</dc:creator>
  <cp:lastModifiedBy>My Hp</cp:lastModifiedBy>
  <cp:lastPrinted>2022-11-25T08:15:59Z</cp:lastPrinted>
  <dcterms:created xsi:type="dcterms:W3CDTF">2016-01-14T00:53:50Z</dcterms:created>
  <dcterms:modified xsi:type="dcterms:W3CDTF">2024-05-19T00:17:33Z</dcterms:modified>
</cp:coreProperties>
</file>